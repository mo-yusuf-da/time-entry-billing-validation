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1b43195ea46643e/Documents/Data Analyst 2026/10 Analytics/Portfolio/Excel/FLINT_practice_projects/time-billing-validation-practice/"/>
    </mc:Choice>
  </mc:AlternateContent>
  <xr:revisionPtr revIDLastSave="5" documentId="11_68A8DB226F482A0A323263A463C93A42C3A3F34A" xr6:coauthVersionLast="47" xr6:coauthVersionMax="47" xr10:uidLastSave="{2F2B8FE8-C641-4B93-9B7A-0800723C3127}"/>
  <bookViews>
    <workbookView xWindow="-120" yWindow="-120" windowWidth="29040" windowHeight="15720" tabRatio="500" xr2:uid="{00000000-000D-0000-FFFF-FFFF00000000}"/>
  </bookViews>
  <sheets>
    <sheet name="Overview" sheetId="1" r:id="rId1"/>
    <sheet name="Time_Entries" sheetId="2" r:id="rId2"/>
    <sheet name="Billing_Data" sheetId="3" r:id="rId3"/>
    <sheet name="Coverage" sheetId="4" r:id="rId4"/>
    <sheet name="Discrepancy_Log" sheetId="5" r:id="rId5"/>
    <sheet name="Summary_Checks" sheetId="6" r:id="rId6"/>
    <sheet name="Lists" sheetId="7" r:id="rId7"/>
  </sheets>
  <definedNames>
    <definedName name="_xlnm._FilterDatabase" localSheetId="2" hidden="1">Billing_Data!$A$4:$O$319</definedName>
    <definedName name="_xlnm._FilterDatabase" localSheetId="4" hidden="1">Discrepancy_Log!$A$5:$M$38</definedName>
    <definedName name="_xlnm._FilterDatabase" localSheetId="1" hidden="1">Time_Entries!$A$4:$U$332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0" i="7" l="1"/>
  <c r="I19" i="7"/>
  <c r="I18" i="7"/>
  <c r="I17" i="7"/>
  <c r="I16" i="7"/>
  <c r="I15" i="7"/>
  <c r="I14" i="7"/>
  <c r="I13" i="7"/>
  <c r="I12" i="7"/>
  <c r="I11" i="7"/>
  <c r="I10" i="7"/>
  <c r="I9" i="7"/>
  <c r="I8" i="7"/>
  <c r="I7" i="7"/>
  <c r="I6" i="7"/>
  <c r="I5" i="7"/>
  <c r="C21" i="6"/>
  <c r="G15" i="6"/>
  <c r="G14" i="6"/>
  <c r="D14" i="6"/>
  <c r="G13" i="6"/>
  <c r="D13" i="6"/>
  <c r="G12" i="6"/>
  <c r="D12" i="6"/>
  <c r="G11" i="6"/>
  <c r="D11" i="6"/>
  <c r="G10" i="6"/>
  <c r="D10" i="6"/>
  <c r="G9" i="6"/>
  <c r="D9" i="6"/>
  <c r="G8" i="6"/>
  <c r="G7" i="6"/>
  <c r="D7" i="6"/>
  <c r="G6" i="6"/>
  <c r="C37" i="4"/>
  <c r="B35" i="4"/>
  <c r="F34" i="4"/>
  <c r="B34" i="4"/>
  <c r="B33" i="4"/>
  <c r="B32" i="4"/>
  <c r="L31" i="4"/>
  <c r="B31" i="4"/>
  <c r="B30" i="4"/>
  <c r="B29" i="4"/>
  <c r="K28" i="4"/>
  <c r="B28" i="4"/>
  <c r="B27" i="4"/>
  <c r="B26" i="4"/>
  <c r="B25" i="4"/>
  <c r="J24" i="4"/>
  <c r="B24" i="4"/>
  <c r="B23" i="4"/>
  <c r="C22" i="4"/>
  <c r="B22" i="4"/>
  <c r="B21" i="4"/>
  <c r="B20" i="4"/>
  <c r="H19" i="4"/>
  <c r="B19" i="4"/>
  <c r="B18" i="4"/>
  <c r="B17" i="4"/>
  <c r="I16" i="4"/>
  <c r="B16" i="4"/>
  <c r="B15" i="4"/>
  <c r="G14" i="4"/>
  <c r="B14" i="4"/>
  <c r="B13" i="4"/>
  <c r="B12" i="4"/>
  <c r="B11" i="4"/>
  <c r="E10" i="4"/>
  <c r="B10" i="4"/>
  <c r="B9" i="4"/>
  <c r="B8" i="4"/>
  <c r="D7" i="4"/>
  <c r="B7" i="4"/>
  <c r="B6" i="4"/>
  <c r="K319" i="3"/>
  <c r="L319" i="3" s="1"/>
  <c r="H319" i="3"/>
  <c r="K318" i="3"/>
  <c r="L318" i="3" s="1"/>
  <c r="H318" i="3"/>
  <c r="K317" i="3"/>
  <c r="L317" i="3" s="1"/>
  <c r="H317" i="3"/>
  <c r="K316" i="3"/>
  <c r="L316" i="3" s="1"/>
  <c r="H316" i="3"/>
  <c r="K315" i="3"/>
  <c r="L315" i="3" s="1"/>
  <c r="H315" i="3"/>
  <c r="K314" i="3"/>
  <c r="L314" i="3" s="1"/>
  <c r="H314" i="3"/>
  <c r="K313" i="3"/>
  <c r="L313" i="3" s="1"/>
  <c r="H313" i="3"/>
  <c r="K312" i="3"/>
  <c r="L312" i="3" s="1"/>
  <c r="H312" i="3"/>
  <c r="K311" i="3"/>
  <c r="H311" i="3"/>
  <c r="K310" i="3"/>
  <c r="L310" i="3" s="1"/>
  <c r="H310" i="3"/>
  <c r="K309" i="3"/>
  <c r="L309" i="3" s="1"/>
  <c r="H309" i="3"/>
  <c r="K308" i="3"/>
  <c r="L308" i="3" s="1"/>
  <c r="H308" i="3"/>
  <c r="K307" i="3"/>
  <c r="H307" i="3"/>
  <c r="K306" i="3"/>
  <c r="L306" i="3" s="1"/>
  <c r="H306" i="3"/>
  <c r="K305" i="3"/>
  <c r="L305" i="3" s="1"/>
  <c r="H305" i="3"/>
  <c r="K304" i="3"/>
  <c r="L304" i="3" s="1"/>
  <c r="H304" i="3"/>
  <c r="K303" i="3"/>
  <c r="H303" i="3"/>
  <c r="K302" i="3"/>
  <c r="L302" i="3" s="1"/>
  <c r="H302" i="3"/>
  <c r="K301" i="3"/>
  <c r="L301" i="3" s="1"/>
  <c r="H301" i="3"/>
  <c r="K300" i="3"/>
  <c r="L300" i="3" s="1"/>
  <c r="H300" i="3"/>
  <c r="K299" i="3"/>
  <c r="H299" i="3"/>
  <c r="K298" i="3"/>
  <c r="L298" i="3" s="1"/>
  <c r="H298" i="3"/>
  <c r="K297" i="3"/>
  <c r="L297" i="3" s="1"/>
  <c r="H297" i="3"/>
  <c r="K296" i="3"/>
  <c r="L296" i="3" s="1"/>
  <c r="H296" i="3"/>
  <c r="K295" i="3"/>
  <c r="H295" i="3"/>
  <c r="K294" i="3"/>
  <c r="L294" i="3" s="1"/>
  <c r="H294" i="3"/>
  <c r="K293" i="3"/>
  <c r="L293" i="3" s="1"/>
  <c r="H293" i="3"/>
  <c r="K292" i="3"/>
  <c r="L292" i="3" s="1"/>
  <c r="H292" i="3"/>
  <c r="K291" i="3"/>
  <c r="H291" i="3"/>
  <c r="K290" i="3"/>
  <c r="L290" i="3" s="1"/>
  <c r="H290" i="3"/>
  <c r="K289" i="3"/>
  <c r="L289" i="3" s="1"/>
  <c r="H289" i="3"/>
  <c r="K288" i="3"/>
  <c r="L288" i="3" s="1"/>
  <c r="H288" i="3"/>
  <c r="K287" i="3"/>
  <c r="H287" i="3"/>
  <c r="K286" i="3"/>
  <c r="L286" i="3" s="1"/>
  <c r="H286" i="3"/>
  <c r="K285" i="3"/>
  <c r="L285" i="3" s="1"/>
  <c r="H285" i="3"/>
  <c r="K284" i="3"/>
  <c r="L284" i="3" s="1"/>
  <c r="H284" i="3"/>
  <c r="K283" i="3"/>
  <c r="H283" i="3"/>
  <c r="K282" i="3"/>
  <c r="L282" i="3" s="1"/>
  <c r="H282" i="3"/>
  <c r="K281" i="3"/>
  <c r="L281" i="3" s="1"/>
  <c r="H281" i="3"/>
  <c r="K280" i="3"/>
  <c r="L280" i="3" s="1"/>
  <c r="H280" i="3"/>
  <c r="L279" i="3"/>
  <c r="K279" i="3"/>
  <c r="H279" i="3"/>
  <c r="L278" i="3"/>
  <c r="K278" i="3"/>
  <c r="H278" i="3"/>
  <c r="L277" i="3"/>
  <c r="K277" i="3"/>
  <c r="H277" i="3"/>
  <c r="L276" i="3"/>
  <c r="K276" i="3"/>
  <c r="H276" i="3"/>
  <c r="K275" i="3"/>
  <c r="L275" i="3" s="1"/>
  <c r="H275" i="3"/>
  <c r="K274" i="3"/>
  <c r="H274" i="3"/>
  <c r="K273" i="3"/>
  <c r="L273" i="3" s="1"/>
  <c r="H273" i="3"/>
  <c r="K272" i="3"/>
  <c r="H272" i="3"/>
  <c r="K271" i="3"/>
  <c r="L271" i="3" s="1"/>
  <c r="H271" i="3"/>
  <c r="K270" i="3"/>
  <c r="H270" i="3"/>
  <c r="K269" i="3"/>
  <c r="L269" i="3" s="1"/>
  <c r="H269" i="3"/>
  <c r="K268" i="3"/>
  <c r="H268" i="3"/>
  <c r="K267" i="3"/>
  <c r="L267" i="3" s="1"/>
  <c r="H267" i="3"/>
  <c r="K266" i="3"/>
  <c r="H266" i="3"/>
  <c r="K265" i="3"/>
  <c r="L265" i="3" s="1"/>
  <c r="H265" i="3"/>
  <c r="K264" i="3"/>
  <c r="H264" i="3"/>
  <c r="K263" i="3"/>
  <c r="L263" i="3" s="1"/>
  <c r="H263" i="3"/>
  <c r="K262" i="3"/>
  <c r="H262" i="3"/>
  <c r="K261" i="3"/>
  <c r="L261" i="3" s="1"/>
  <c r="H261" i="3"/>
  <c r="K260" i="3"/>
  <c r="H260" i="3"/>
  <c r="K259" i="3"/>
  <c r="H259" i="3"/>
  <c r="K258" i="3"/>
  <c r="H258" i="3"/>
  <c r="K257" i="3"/>
  <c r="L257" i="3" s="1"/>
  <c r="H257" i="3"/>
  <c r="K256" i="3"/>
  <c r="H256" i="3"/>
  <c r="L255" i="3"/>
  <c r="K255" i="3"/>
  <c r="H255" i="3"/>
  <c r="K254" i="3"/>
  <c r="L254" i="3" s="1"/>
  <c r="H254" i="3"/>
  <c r="K253" i="3"/>
  <c r="H253" i="3"/>
  <c r="L252" i="3"/>
  <c r="K252" i="3"/>
  <c r="H252" i="3"/>
  <c r="L251" i="3"/>
  <c r="K251" i="3"/>
  <c r="H251" i="3"/>
  <c r="K250" i="3"/>
  <c r="L250" i="3" s="1"/>
  <c r="H250" i="3"/>
  <c r="K249" i="3"/>
  <c r="H249" i="3"/>
  <c r="L248" i="3"/>
  <c r="K248" i="3"/>
  <c r="H248" i="3"/>
  <c r="K247" i="3"/>
  <c r="H247" i="3"/>
  <c r="K246" i="3"/>
  <c r="L246" i="3" s="1"/>
  <c r="H246" i="3"/>
  <c r="K245" i="3"/>
  <c r="H245" i="3"/>
  <c r="L244" i="3"/>
  <c r="K244" i="3"/>
  <c r="H244" i="3"/>
  <c r="K243" i="3"/>
  <c r="H243" i="3"/>
  <c r="L242" i="3"/>
  <c r="K242" i="3"/>
  <c r="H242" i="3"/>
  <c r="L241" i="3"/>
  <c r="K241" i="3"/>
  <c r="H241" i="3"/>
  <c r="L240" i="3"/>
  <c r="K240" i="3"/>
  <c r="H240" i="3"/>
  <c r="K239" i="3"/>
  <c r="H239" i="3"/>
  <c r="K238" i="3"/>
  <c r="H238" i="3"/>
  <c r="L237" i="3"/>
  <c r="K237" i="3"/>
  <c r="H237" i="3"/>
  <c r="L236" i="3"/>
  <c r="K236" i="3"/>
  <c r="H236" i="3"/>
  <c r="K235" i="3"/>
  <c r="H235" i="3"/>
  <c r="K234" i="3"/>
  <c r="H234" i="3"/>
  <c r="L233" i="3"/>
  <c r="K233" i="3"/>
  <c r="H233" i="3"/>
  <c r="L232" i="3"/>
  <c r="K232" i="3"/>
  <c r="H232" i="3"/>
  <c r="K231" i="3"/>
  <c r="H231" i="3"/>
  <c r="K230" i="3"/>
  <c r="H230" i="3"/>
  <c r="L229" i="3"/>
  <c r="K229" i="3"/>
  <c r="H229" i="3"/>
  <c r="L228" i="3"/>
  <c r="K228" i="3"/>
  <c r="H228" i="3"/>
  <c r="K227" i="3"/>
  <c r="H227" i="3"/>
  <c r="K226" i="3"/>
  <c r="H226" i="3"/>
  <c r="L225" i="3"/>
  <c r="K225" i="3"/>
  <c r="H225" i="3"/>
  <c r="L224" i="3"/>
  <c r="K224" i="3"/>
  <c r="H224" i="3"/>
  <c r="K223" i="3"/>
  <c r="H223" i="3"/>
  <c r="K222" i="3"/>
  <c r="H222" i="3"/>
  <c r="L221" i="3"/>
  <c r="K221" i="3"/>
  <c r="H221" i="3"/>
  <c r="L220" i="3"/>
  <c r="K220" i="3"/>
  <c r="H220" i="3"/>
  <c r="K219" i="3"/>
  <c r="H219" i="3"/>
  <c r="K218" i="3"/>
  <c r="H218" i="3"/>
  <c r="K217" i="3"/>
  <c r="L217" i="3" s="1"/>
  <c r="H217" i="3"/>
  <c r="L216" i="3"/>
  <c r="K216" i="3"/>
  <c r="H216" i="3"/>
  <c r="K215" i="3"/>
  <c r="H215" i="3"/>
  <c r="K214" i="3"/>
  <c r="H214" i="3"/>
  <c r="K213" i="3"/>
  <c r="L213" i="3" s="1"/>
  <c r="H213" i="3"/>
  <c r="L212" i="3"/>
  <c r="K212" i="3"/>
  <c r="H212" i="3"/>
  <c r="L211" i="3"/>
  <c r="K211" i="3"/>
  <c r="H211" i="3"/>
  <c r="K210" i="3"/>
  <c r="L210" i="3" s="1"/>
  <c r="H210" i="3"/>
  <c r="K209" i="3"/>
  <c r="L209" i="3" s="1"/>
  <c r="H209" i="3"/>
  <c r="K208" i="3"/>
  <c r="H208" i="3"/>
  <c r="K207" i="3"/>
  <c r="H207" i="3"/>
  <c r="L206" i="3"/>
  <c r="K206" i="3"/>
  <c r="H206" i="3"/>
  <c r="K205" i="3"/>
  <c r="L205" i="3" s="1"/>
  <c r="H205" i="3"/>
  <c r="L204" i="3"/>
  <c r="K204" i="3"/>
  <c r="H204" i="3"/>
  <c r="K203" i="3"/>
  <c r="L203" i="3" s="1"/>
  <c r="H203" i="3"/>
  <c r="L202" i="3"/>
  <c r="K202" i="3"/>
  <c r="H202" i="3"/>
  <c r="L201" i="3"/>
  <c r="K201" i="3"/>
  <c r="H201" i="3"/>
  <c r="L200" i="3"/>
  <c r="K200" i="3"/>
  <c r="H200" i="3"/>
  <c r="K199" i="3"/>
  <c r="H199" i="3"/>
  <c r="L198" i="3"/>
  <c r="K198" i="3"/>
  <c r="H198" i="3"/>
  <c r="K197" i="3"/>
  <c r="L197" i="3" s="1"/>
  <c r="H197" i="3"/>
  <c r="L196" i="3"/>
  <c r="K196" i="3"/>
  <c r="H196" i="3"/>
  <c r="L195" i="3"/>
  <c r="K195" i="3"/>
  <c r="H195" i="3"/>
  <c r="K194" i="3"/>
  <c r="H194" i="3"/>
  <c r="L193" i="3"/>
  <c r="K193" i="3"/>
  <c r="H193" i="3"/>
  <c r="K192" i="3"/>
  <c r="H192" i="3"/>
  <c r="L191" i="3"/>
  <c r="K191" i="3"/>
  <c r="H191" i="3"/>
  <c r="L190" i="3"/>
  <c r="K190" i="3"/>
  <c r="H190" i="3"/>
  <c r="K189" i="3"/>
  <c r="L189" i="3" s="1"/>
  <c r="H189" i="3"/>
  <c r="L188" i="3"/>
  <c r="K188" i="3"/>
  <c r="H188" i="3"/>
  <c r="K187" i="3"/>
  <c r="H187" i="3"/>
  <c r="L186" i="3"/>
  <c r="K186" i="3"/>
  <c r="H186" i="3"/>
  <c r="L185" i="3"/>
  <c r="K185" i="3"/>
  <c r="H185" i="3"/>
  <c r="K184" i="3"/>
  <c r="H184" i="3"/>
  <c r="K183" i="3"/>
  <c r="L183" i="3" s="1"/>
  <c r="H183" i="3"/>
  <c r="L182" i="3"/>
  <c r="K182" i="3"/>
  <c r="H182" i="3"/>
  <c r="K181" i="3"/>
  <c r="H181" i="3"/>
  <c r="K180" i="3"/>
  <c r="L180" i="3" s="1"/>
  <c r="H180" i="3"/>
  <c r="L179" i="3"/>
  <c r="K179" i="3"/>
  <c r="H179" i="3"/>
  <c r="K178" i="3"/>
  <c r="L178" i="3" s="1"/>
  <c r="H178" i="3"/>
  <c r="L177" i="3"/>
  <c r="K177" i="3"/>
  <c r="H177" i="3"/>
  <c r="K176" i="3"/>
  <c r="H176" i="3"/>
  <c r="K175" i="3"/>
  <c r="L175" i="3" s="1"/>
  <c r="H175" i="3"/>
  <c r="L174" i="3"/>
  <c r="K174" i="3"/>
  <c r="H174" i="3"/>
  <c r="K173" i="3"/>
  <c r="H173" i="3"/>
  <c r="K172" i="3"/>
  <c r="L172" i="3" s="1"/>
  <c r="H172" i="3"/>
  <c r="L171" i="3"/>
  <c r="K171" i="3"/>
  <c r="H171" i="3"/>
  <c r="K170" i="3"/>
  <c r="L170" i="3" s="1"/>
  <c r="H170" i="3"/>
  <c r="L169" i="3"/>
  <c r="K169" i="3"/>
  <c r="H169" i="3"/>
  <c r="K168" i="3"/>
  <c r="H168" i="3"/>
  <c r="K167" i="3"/>
  <c r="L167" i="3" s="1"/>
  <c r="H167" i="3"/>
  <c r="L166" i="3"/>
  <c r="K166" i="3"/>
  <c r="H166" i="3"/>
  <c r="K165" i="3"/>
  <c r="H165" i="3"/>
  <c r="K164" i="3"/>
  <c r="L164" i="3" s="1"/>
  <c r="H164" i="3"/>
  <c r="L163" i="3"/>
  <c r="K163" i="3"/>
  <c r="H163" i="3"/>
  <c r="K162" i="3"/>
  <c r="L162" i="3" s="1"/>
  <c r="H162" i="3"/>
  <c r="L161" i="3"/>
  <c r="K161" i="3"/>
  <c r="H161" i="3"/>
  <c r="K160" i="3"/>
  <c r="H160" i="3"/>
  <c r="K159" i="3"/>
  <c r="L159" i="3" s="1"/>
  <c r="H159" i="3"/>
  <c r="L158" i="3"/>
  <c r="K158" i="3"/>
  <c r="H158" i="3"/>
  <c r="K157" i="3"/>
  <c r="H157" i="3"/>
  <c r="K156" i="3"/>
  <c r="L156" i="3" s="1"/>
  <c r="H156" i="3"/>
  <c r="L155" i="3"/>
  <c r="K155" i="3"/>
  <c r="H155" i="3"/>
  <c r="K154" i="3"/>
  <c r="L154" i="3" s="1"/>
  <c r="H154" i="3"/>
  <c r="L153" i="3"/>
  <c r="K153" i="3"/>
  <c r="H153" i="3"/>
  <c r="K152" i="3"/>
  <c r="H152" i="3"/>
  <c r="K151" i="3"/>
  <c r="H151" i="3"/>
  <c r="L150" i="3"/>
  <c r="K150" i="3"/>
  <c r="H150" i="3"/>
  <c r="L149" i="3"/>
  <c r="K149" i="3"/>
  <c r="H149" i="3"/>
  <c r="K148" i="3"/>
  <c r="H148" i="3"/>
  <c r="K147" i="3"/>
  <c r="H147" i="3"/>
  <c r="L146" i="3"/>
  <c r="K146" i="3"/>
  <c r="H146" i="3"/>
  <c r="K145" i="3"/>
  <c r="H145" i="3"/>
  <c r="K144" i="3"/>
  <c r="H144" i="3"/>
  <c r="K143" i="3"/>
  <c r="H143" i="3"/>
  <c r="L142" i="3"/>
  <c r="K142" i="3"/>
  <c r="H142" i="3"/>
  <c r="L141" i="3"/>
  <c r="K141" i="3"/>
  <c r="H141" i="3"/>
  <c r="K140" i="3"/>
  <c r="H140" i="3"/>
  <c r="K139" i="3"/>
  <c r="H139" i="3"/>
  <c r="L138" i="3"/>
  <c r="K138" i="3"/>
  <c r="H138" i="3"/>
  <c r="K137" i="3"/>
  <c r="H137" i="3"/>
  <c r="K136" i="3"/>
  <c r="H136" i="3"/>
  <c r="K135" i="3"/>
  <c r="H135" i="3"/>
  <c r="L134" i="3"/>
  <c r="K134" i="3"/>
  <c r="H134" i="3"/>
  <c r="L133" i="3"/>
  <c r="K133" i="3"/>
  <c r="H133" i="3"/>
  <c r="K132" i="3"/>
  <c r="H132" i="3"/>
  <c r="K131" i="3"/>
  <c r="H131" i="3"/>
  <c r="L130" i="3"/>
  <c r="K130" i="3"/>
  <c r="H130" i="3"/>
  <c r="K129" i="3"/>
  <c r="H129" i="3"/>
  <c r="L128" i="3"/>
  <c r="K128" i="3"/>
  <c r="H128" i="3"/>
  <c r="K127" i="3"/>
  <c r="H127" i="3"/>
  <c r="L126" i="3"/>
  <c r="K126" i="3"/>
  <c r="H126" i="3"/>
  <c r="K125" i="3"/>
  <c r="H125" i="3"/>
  <c r="L124" i="3"/>
  <c r="K124" i="3"/>
  <c r="H124" i="3"/>
  <c r="K123" i="3"/>
  <c r="H123" i="3"/>
  <c r="L122" i="3"/>
  <c r="K122" i="3"/>
  <c r="H122" i="3"/>
  <c r="K121" i="3"/>
  <c r="H121" i="3"/>
  <c r="K120" i="3"/>
  <c r="H120" i="3"/>
  <c r="L119" i="3"/>
  <c r="K119" i="3"/>
  <c r="H119" i="3"/>
  <c r="L118" i="3"/>
  <c r="K118" i="3"/>
  <c r="H118" i="3"/>
  <c r="L117" i="3"/>
  <c r="K117" i="3"/>
  <c r="H117" i="3"/>
  <c r="K116" i="3"/>
  <c r="H116" i="3"/>
  <c r="L115" i="3"/>
  <c r="K115" i="3"/>
  <c r="H115" i="3"/>
  <c r="L114" i="3"/>
  <c r="K114" i="3"/>
  <c r="H114" i="3"/>
  <c r="L113" i="3"/>
  <c r="K113" i="3"/>
  <c r="H113" i="3"/>
  <c r="L112" i="3"/>
  <c r="K112" i="3"/>
  <c r="H112" i="3"/>
  <c r="L111" i="3"/>
  <c r="K111" i="3"/>
  <c r="H111" i="3"/>
  <c r="L110" i="3"/>
  <c r="K110" i="3"/>
  <c r="H110" i="3"/>
  <c r="L109" i="3"/>
  <c r="K109" i="3"/>
  <c r="H109" i="3"/>
  <c r="L108" i="3"/>
  <c r="K108" i="3"/>
  <c r="H108" i="3"/>
  <c r="L107" i="3"/>
  <c r="K107" i="3"/>
  <c r="H107" i="3"/>
  <c r="L106" i="3"/>
  <c r="K106" i="3"/>
  <c r="H106" i="3"/>
  <c r="L105" i="3"/>
  <c r="K105" i="3"/>
  <c r="H105" i="3"/>
  <c r="L104" i="3"/>
  <c r="K104" i="3"/>
  <c r="H104" i="3"/>
  <c r="L103" i="3"/>
  <c r="K103" i="3"/>
  <c r="H103" i="3"/>
  <c r="L102" i="3"/>
  <c r="K102" i="3"/>
  <c r="H102" i="3"/>
  <c r="L101" i="3"/>
  <c r="K101" i="3"/>
  <c r="H101" i="3"/>
  <c r="L100" i="3"/>
  <c r="K100" i="3"/>
  <c r="H100" i="3"/>
  <c r="L99" i="3"/>
  <c r="K99" i="3"/>
  <c r="H99" i="3"/>
  <c r="K98" i="3"/>
  <c r="H98" i="3"/>
  <c r="K97" i="3"/>
  <c r="H97" i="3"/>
  <c r="L96" i="3"/>
  <c r="K96" i="3"/>
  <c r="H96" i="3"/>
  <c r="K95" i="3"/>
  <c r="H95" i="3"/>
  <c r="K94" i="3"/>
  <c r="H94" i="3"/>
  <c r="L93" i="3"/>
  <c r="K93" i="3"/>
  <c r="H93" i="3"/>
  <c r="K92" i="3"/>
  <c r="H92" i="3"/>
  <c r="L91" i="3"/>
  <c r="K91" i="3"/>
  <c r="H91" i="3"/>
  <c r="K90" i="3"/>
  <c r="H90" i="3"/>
  <c r="K89" i="3"/>
  <c r="H89" i="3"/>
  <c r="L88" i="3"/>
  <c r="K88" i="3"/>
  <c r="H88" i="3"/>
  <c r="K87" i="3"/>
  <c r="H87" i="3"/>
  <c r="K86" i="3"/>
  <c r="H86" i="3"/>
  <c r="L85" i="3"/>
  <c r="K85" i="3"/>
  <c r="H85" i="3"/>
  <c r="K84" i="3"/>
  <c r="H84" i="3"/>
  <c r="L83" i="3"/>
  <c r="K83" i="3"/>
  <c r="H83" i="3"/>
  <c r="K82" i="3"/>
  <c r="H82" i="3"/>
  <c r="K81" i="3"/>
  <c r="H81" i="3"/>
  <c r="L80" i="3"/>
  <c r="K80" i="3"/>
  <c r="H80" i="3"/>
  <c r="K79" i="3"/>
  <c r="H79" i="3"/>
  <c r="K78" i="3"/>
  <c r="H78" i="3"/>
  <c r="L77" i="3"/>
  <c r="K77" i="3"/>
  <c r="H77" i="3"/>
  <c r="K76" i="3"/>
  <c r="H76" i="3"/>
  <c r="L75" i="3"/>
  <c r="K75" i="3"/>
  <c r="H75" i="3"/>
  <c r="K74" i="3"/>
  <c r="H74" i="3"/>
  <c r="K73" i="3"/>
  <c r="H73" i="3"/>
  <c r="L72" i="3"/>
  <c r="K72" i="3"/>
  <c r="H72" i="3"/>
  <c r="K71" i="3"/>
  <c r="H71" i="3"/>
  <c r="K70" i="3"/>
  <c r="H70" i="3"/>
  <c r="L69" i="3"/>
  <c r="K69" i="3"/>
  <c r="H69" i="3"/>
  <c r="K68" i="3"/>
  <c r="H68" i="3"/>
  <c r="L67" i="3"/>
  <c r="K67" i="3"/>
  <c r="H67" i="3"/>
  <c r="K66" i="3"/>
  <c r="H66" i="3"/>
  <c r="K65" i="3"/>
  <c r="H65" i="3"/>
  <c r="L64" i="3"/>
  <c r="K64" i="3"/>
  <c r="H64" i="3"/>
  <c r="K63" i="3"/>
  <c r="H63" i="3"/>
  <c r="L62" i="3"/>
  <c r="K62" i="3"/>
  <c r="H62" i="3"/>
  <c r="K61" i="3"/>
  <c r="H61" i="3"/>
  <c r="L60" i="3"/>
  <c r="K60" i="3"/>
  <c r="H60" i="3"/>
  <c r="K59" i="3"/>
  <c r="H59" i="3"/>
  <c r="L58" i="3"/>
  <c r="K58" i="3"/>
  <c r="H58" i="3"/>
  <c r="K57" i="3"/>
  <c r="H57" i="3"/>
  <c r="L56" i="3"/>
  <c r="K56" i="3"/>
  <c r="H56" i="3"/>
  <c r="K55" i="3"/>
  <c r="H55" i="3"/>
  <c r="L54" i="3"/>
  <c r="K54" i="3"/>
  <c r="H54" i="3"/>
  <c r="K53" i="3"/>
  <c r="H53" i="3"/>
  <c r="L52" i="3"/>
  <c r="K52" i="3"/>
  <c r="H52" i="3"/>
  <c r="K51" i="3"/>
  <c r="H51" i="3"/>
  <c r="L50" i="3"/>
  <c r="K50" i="3"/>
  <c r="H50" i="3"/>
  <c r="K49" i="3"/>
  <c r="H49" i="3"/>
  <c r="L48" i="3"/>
  <c r="K48" i="3"/>
  <c r="H48" i="3"/>
  <c r="K47" i="3"/>
  <c r="H47" i="3"/>
  <c r="L46" i="3"/>
  <c r="K46" i="3"/>
  <c r="H46" i="3"/>
  <c r="K45" i="3"/>
  <c r="H45" i="3"/>
  <c r="L44" i="3"/>
  <c r="K44" i="3"/>
  <c r="H44" i="3"/>
  <c r="K43" i="3"/>
  <c r="H43" i="3"/>
  <c r="L42" i="3"/>
  <c r="K42" i="3"/>
  <c r="H42" i="3"/>
  <c r="K41" i="3"/>
  <c r="H41" i="3"/>
  <c r="L40" i="3"/>
  <c r="K40" i="3"/>
  <c r="H40" i="3"/>
  <c r="K39" i="3"/>
  <c r="H39" i="3"/>
  <c r="L38" i="3"/>
  <c r="K38" i="3"/>
  <c r="H38" i="3"/>
  <c r="K37" i="3"/>
  <c r="H37" i="3"/>
  <c r="L36" i="3"/>
  <c r="K36" i="3"/>
  <c r="H36" i="3"/>
  <c r="K35" i="3"/>
  <c r="H35" i="3"/>
  <c r="L34" i="3"/>
  <c r="K34" i="3"/>
  <c r="H34" i="3"/>
  <c r="K33" i="3"/>
  <c r="H33" i="3"/>
  <c r="L32" i="3"/>
  <c r="K32" i="3"/>
  <c r="H32" i="3"/>
  <c r="K31" i="3"/>
  <c r="H31" i="3"/>
  <c r="L30" i="3"/>
  <c r="K30" i="3"/>
  <c r="H30" i="3"/>
  <c r="K29" i="3"/>
  <c r="H29" i="3"/>
  <c r="L28" i="3"/>
  <c r="K28" i="3"/>
  <c r="H28" i="3"/>
  <c r="K27" i="3"/>
  <c r="H27" i="3"/>
  <c r="L26" i="3"/>
  <c r="K26" i="3"/>
  <c r="H26" i="3"/>
  <c r="K25" i="3"/>
  <c r="H25" i="3"/>
  <c r="L24" i="3"/>
  <c r="K24" i="3"/>
  <c r="H24" i="3"/>
  <c r="K23" i="3"/>
  <c r="H23" i="3"/>
  <c r="L22" i="3"/>
  <c r="K22" i="3"/>
  <c r="H22" i="3"/>
  <c r="K21" i="3"/>
  <c r="H21" i="3"/>
  <c r="L20" i="3"/>
  <c r="K20" i="3"/>
  <c r="H20" i="3"/>
  <c r="K19" i="3"/>
  <c r="H19" i="3"/>
  <c r="L18" i="3"/>
  <c r="K18" i="3"/>
  <c r="H18" i="3"/>
  <c r="K17" i="3"/>
  <c r="H17" i="3"/>
  <c r="L16" i="3"/>
  <c r="K16" i="3"/>
  <c r="H16" i="3"/>
  <c r="K15" i="3"/>
  <c r="H15" i="3"/>
  <c r="L14" i="3"/>
  <c r="K14" i="3"/>
  <c r="H14" i="3"/>
  <c r="K13" i="3"/>
  <c r="H13" i="3"/>
  <c r="L12" i="3"/>
  <c r="K12" i="3"/>
  <c r="H12" i="3"/>
  <c r="K11" i="3"/>
  <c r="H11" i="3"/>
  <c r="L10" i="3"/>
  <c r="K10" i="3"/>
  <c r="H10" i="3"/>
  <c r="K9" i="3"/>
  <c r="H9" i="3"/>
  <c r="L8" i="3"/>
  <c r="K8" i="3"/>
  <c r="H8" i="3"/>
  <c r="K7" i="3"/>
  <c r="H7" i="3"/>
  <c r="L6" i="3"/>
  <c r="K6" i="3"/>
  <c r="H6" i="3"/>
  <c r="K5" i="3"/>
  <c r="H5" i="3"/>
  <c r="Q332" i="2"/>
  <c r="P332" i="2"/>
  <c r="O332" i="2"/>
  <c r="M332" i="2"/>
  <c r="I332" i="2"/>
  <c r="H332" i="2"/>
  <c r="F332" i="2"/>
  <c r="D332" i="2"/>
  <c r="C332" i="2"/>
  <c r="Q331" i="2"/>
  <c r="P331" i="2"/>
  <c r="O331" i="2"/>
  <c r="M331" i="2"/>
  <c r="I331" i="2"/>
  <c r="H331" i="2"/>
  <c r="F331" i="2"/>
  <c r="D331" i="2"/>
  <c r="L331" i="2" s="1"/>
  <c r="R331" i="2" s="1"/>
  <c r="C331" i="2"/>
  <c r="Q330" i="2"/>
  <c r="P330" i="2"/>
  <c r="O330" i="2"/>
  <c r="M330" i="2"/>
  <c r="I330" i="2"/>
  <c r="H330" i="2"/>
  <c r="F330" i="2"/>
  <c r="D330" i="2"/>
  <c r="C330" i="2"/>
  <c r="Q329" i="2"/>
  <c r="P329" i="2"/>
  <c r="O329" i="2"/>
  <c r="M329" i="2"/>
  <c r="I329" i="2"/>
  <c r="H329" i="2"/>
  <c r="F329" i="2"/>
  <c r="D329" i="2"/>
  <c r="L329" i="2" s="1"/>
  <c r="R329" i="2" s="1"/>
  <c r="C329" i="2"/>
  <c r="Q328" i="2"/>
  <c r="P328" i="2"/>
  <c r="O328" i="2"/>
  <c r="M328" i="2"/>
  <c r="I328" i="2"/>
  <c r="H328" i="2"/>
  <c r="F328" i="2"/>
  <c r="D328" i="2"/>
  <c r="C328" i="2"/>
  <c r="Q327" i="2"/>
  <c r="P327" i="2"/>
  <c r="O327" i="2"/>
  <c r="M327" i="2"/>
  <c r="I327" i="2"/>
  <c r="H327" i="2"/>
  <c r="F327" i="2"/>
  <c r="D327" i="2"/>
  <c r="L327" i="2" s="1"/>
  <c r="R327" i="2" s="1"/>
  <c r="C327" i="2"/>
  <c r="Q326" i="2"/>
  <c r="P326" i="2"/>
  <c r="O326" i="2"/>
  <c r="M326" i="2"/>
  <c r="I326" i="2"/>
  <c r="L326" i="2" s="1"/>
  <c r="H326" i="2"/>
  <c r="F326" i="2"/>
  <c r="D326" i="2"/>
  <c r="C326" i="2"/>
  <c r="Q325" i="2"/>
  <c r="P325" i="2"/>
  <c r="O325" i="2"/>
  <c r="M325" i="2"/>
  <c r="L325" i="2"/>
  <c r="R325" i="2" s="1"/>
  <c r="I325" i="2"/>
  <c r="H325" i="2"/>
  <c r="F325" i="2"/>
  <c r="D325" i="2"/>
  <c r="C325" i="2"/>
  <c r="Q324" i="2"/>
  <c r="P324" i="2"/>
  <c r="O324" i="2"/>
  <c r="M324" i="2"/>
  <c r="L324" i="2"/>
  <c r="I324" i="2"/>
  <c r="H324" i="2"/>
  <c r="F324" i="2"/>
  <c r="D324" i="2"/>
  <c r="C324" i="2"/>
  <c r="Q323" i="2"/>
  <c r="P323" i="2"/>
  <c r="O323" i="2"/>
  <c r="M323" i="2"/>
  <c r="I323" i="2"/>
  <c r="H323" i="2"/>
  <c r="F323" i="2"/>
  <c r="D323" i="2"/>
  <c r="C323" i="2"/>
  <c r="Q322" i="2"/>
  <c r="P322" i="2"/>
  <c r="O322" i="2"/>
  <c r="M322" i="2"/>
  <c r="I322" i="2"/>
  <c r="H322" i="2"/>
  <c r="F322" i="2"/>
  <c r="D322" i="2"/>
  <c r="C322" i="2"/>
  <c r="Q321" i="2"/>
  <c r="P321" i="2"/>
  <c r="O321" i="2"/>
  <c r="M321" i="2"/>
  <c r="I321" i="2"/>
  <c r="H321" i="2"/>
  <c r="F321" i="2"/>
  <c r="D321" i="2"/>
  <c r="L321" i="2" s="1"/>
  <c r="R321" i="2" s="1"/>
  <c r="C321" i="2"/>
  <c r="Q320" i="2"/>
  <c r="P320" i="2"/>
  <c r="O320" i="2"/>
  <c r="M320" i="2"/>
  <c r="I320" i="2"/>
  <c r="H320" i="2"/>
  <c r="F320" i="2"/>
  <c r="D320" i="2"/>
  <c r="C320" i="2"/>
  <c r="Q319" i="2"/>
  <c r="P319" i="2"/>
  <c r="O319" i="2"/>
  <c r="M319" i="2"/>
  <c r="I319" i="2"/>
  <c r="H319" i="2"/>
  <c r="F319" i="2"/>
  <c r="D319" i="2"/>
  <c r="L319" i="2" s="1"/>
  <c r="R319" i="2" s="1"/>
  <c r="C319" i="2"/>
  <c r="Q318" i="2"/>
  <c r="P318" i="2"/>
  <c r="O318" i="2"/>
  <c r="M318" i="2"/>
  <c r="I318" i="2"/>
  <c r="L318" i="2" s="1"/>
  <c r="H318" i="2"/>
  <c r="F318" i="2"/>
  <c r="D318" i="2"/>
  <c r="C318" i="2"/>
  <c r="Q317" i="2"/>
  <c r="P317" i="2"/>
  <c r="O317" i="2"/>
  <c r="M317" i="2"/>
  <c r="I317" i="2"/>
  <c r="H317" i="2"/>
  <c r="F317" i="2"/>
  <c r="D317" i="2"/>
  <c r="L317" i="2" s="1"/>
  <c r="R317" i="2" s="1"/>
  <c r="C317" i="2"/>
  <c r="Q316" i="2"/>
  <c r="P316" i="2"/>
  <c r="O316" i="2"/>
  <c r="M316" i="2"/>
  <c r="L316" i="2"/>
  <c r="I316" i="2"/>
  <c r="R316" i="2" s="1"/>
  <c r="H316" i="2"/>
  <c r="F316" i="2"/>
  <c r="D316" i="2"/>
  <c r="C316" i="2"/>
  <c r="Q315" i="2"/>
  <c r="P315" i="2"/>
  <c r="O315" i="2"/>
  <c r="M315" i="2"/>
  <c r="I315" i="2"/>
  <c r="H315" i="2"/>
  <c r="F315" i="2"/>
  <c r="D315" i="2"/>
  <c r="C315" i="2"/>
  <c r="Q314" i="2"/>
  <c r="P314" i="2"/>
  <c r="O314" i="2"/>
  <c r="M314" i="2"/>
  <c r="I314" i="2"/>
  <c r="L314" i="2" s="1"/>
  <c r="R314" i="2" s="1"/>
  <c r="H314" i="2"/>
  <c r="F314" i="2"/>
  <c r="D314" i="2"/>
  <c r="C314" i="2"/>
  <c r="Q313" i="2"/>
  <c r="P313" i="2"/>
  <c r="O313" i="2"/>
  <c r="M313" i="2"/>
  <c r="L313" i="2"/>
  <c r="R313" i="2" s="1"/>
  <c r="I313" i="2"/>
  <c r="H313" i="2"/>
  <c r="F313" i="2"/>
  <c r="D313" i="2"/>
  <c r="C313" i="2"/>
  <c r="Q312" i="2"/>
  <c r="P312" i="2"/>
  <c r="O312" i="2"/>
  <c r="M312" i="2"/>
  <c r="I312" i="2"/>
  <c r="H312" i="2"/>
  <c r="F312" i="2"/>
  <c r="D312" i="2"/>
  <c r="C312" i="2"/>
  <c r="Q311" i="2"/>
  <c r="P311" i="2"/>
  <c r="O311" i="2"/>
  <c r="M311" i="2"/>
  <c r="L311" i="2"/>
  <c r="R311" i="2" s="1"/>
  <c r="I311" i="2"/>
  <c r="H311" i="2"/>
  <c r="F311" i="2"/>
  <c r="D311" i="2"/>
  <c r="C311" i="2"/>
  <c r="Q310" i="2"/>
  <c r="P310" i="2"/>
  <c r="O310" i="2"/>
  <c r="M310" i="2"/>
  <c r="I310" i="2"/>
  <c r="H310" i="2"/>
  <c r="F310" i="2"/>
  <c r="D310" i="2"/>
  <c r="C310" i="2"/>
  <c r="Q309" i="2"/>
  <c r="P309" i="2"/>
  <c r="O309" i="2"/>
  <c r="M309" i="2"/>
  <c r="I309" i="2"/>
  <c r="H309" i="2"/>
  <c r="F309" i="2"/>
  <c r="D309" i="2"/>
  <c r="L309" i="2" s="1"/>
  <c r="R309" i="2" s="1"/>
  <c r="C309" i="2"/>
  <c r="Q308" i="2"/>
  <c r="P308" i="2"/>
  <c r="O308" i="2"/>
  <c r="M308" i="2"/>
  <c r="L308" i="2"/>
  <c r="I308" i="2"/>
  <c r="H308" i="2"/>
  <c r="F308" i="2"/>
  <c r="D308" i="2"/>
  <c r="C308" i="2"/>
  <c r="Q307" i="2"/>
  <c r="P307" i="2"/>
  <c r="O307" i="2"/>
  <c r="M307" i="2"/>
  <c r="I307" i="2"/>
  <c r="H307" i="2"/>
  <c r="F307" i="2"/>
  <c r="D307" i="2"/>
  <c r="C307" i="2"/>
  <c r="R306" i="2"/>
  <c r="Q306" i="2"/>
  <c r="P306" i="2"/>
  <c r="O306" i="2"/>
  <c r="M306" i="2"/>
  <c r="I306" i="2"/>
  <c r="L306" i="2" s="1"/>
  <c r="H306" i="2"/>
  <c r="F306" i="2"/>
  <c r="D306" i="2"/>
  <c r="C306" i="2"/>
  <c r="Q305" i="2"/>
  <c r="P305" i="2"/>
  <c r="O305" i="2"/>
  <c r="M305" i="2"/>
  <c r="L305" i="2"/>
  <c r="R305" i="2" s="1"/>
  <c r="I305" i="2"/>
  <c r="H305" i="2"/>
  <c r="F305" i="2"/>
  <c r="D305" i="2"/>
  <c r="C305" i="2"/>
  <c r="Q304" i="2"/>
  <c r="P304" i="2"/>
  <c r="O304" i="2"/>
  <c r="M304" i="2"/>
  <c r="I304" i="2"/>
  <c r="H304" i="2"/>
  <c r="F304" i="2"/>
  <c r="D304" i="2"/>
  <c r="C304" i="2"/>
  <c r="Q303" i="2"/>
  <c r="P303" i="2"/>
  <c r="O303" i="2"/>
  <c r="M303" i="2"/>
  <c r="L303" i="2"/>
  <c r="R303" i="2" s="1"/>
  <c r="I303" i="2"/>
  <c r="H303" i="2"/>
  <c r="F303" i="2"/>
  <c r="D303" i="2"/>
  <c r="C303" i="2"/>
  <c r="Q302" i="2"/>
  <c r="P302" i="2"/>
  <c r="O302" i="2"/>
  <c r="M302" i="2"/>
  <c r="I302" i="2"/>
  <c r="H302" i="2"/>
  <c r="F302" i="2"/>
  <c r="D302" i="2"/>
  <c r="C302" i="2"/>
  <c r="Q301" i="2"/>
  <c r="P301" i="2"/>
  <c r="O301" i="2"/>
  <c r="M301" i="2"/>
  <c r="I301" i="2"/>
  <c r="H301" i="2"/>
  <c r="F301" i="2"/>
  <c r="D301" i="2"/>
  <c r="L301" i="2" s="1"/>
  <c r="R301" i="2" s="1"/>
  <c r="C301" i="2"/>
  <c r="Q300" i="2"/>
  <c r="P300" i="2"/>
  <c r="O300" i="2"/>
  <c r="M300" i="2"/>
  <c r="L300" i="2"/>
  <c r="I300" i="2"/>
  <c r="H300" i="2"/>
  <c r="F300" i="2"/>
  <c r="D300" i="2"/>
  <c r="C300" i="2"/>
  <c r="Q299" i="2"/>
  <c r="P299" i="2"/>
  <c r="O299" i="2"/>
  <c r="M299" i="2"/>
  <c r="I299" i="2"/>
  <c r="H299" i="2"/>
  <c r="F299" i="2"/>
  <c r="D299" i="2"/>
  <c r="C299" i="2"/>
  <c r="R298" i="2"/>
  <c r="Q298" i="2"/>
  <c r="P298" i="2"/>
  <c r="O298" i="2"/>
  <c r="M298" i="2"/>
  <c r="I298" i="2"/>
  <c r="L298" i="2" s="1"/>
  <c r="H298" i="2"/>
  <c r="F298" i="2"/>
  <c r="D298" i="2"/>
  <c r="C298" i="2"/>
  <c r="Q297" i="2"/>
  <c r="P297" i="2"/>
  <c r="O297" i="2"/>
  <c r="M297" i="2"/>
  <c r="L297" i="2"/>
  <c r="R297" i="2" s="1"/>
  <c r="I297" i="2"/>
  <c r="H297" i="2"/>
  <c r="F297" i="2"/>
  <c r="D297" i="2"/>
  <c r="C297" i="2"/>
  <c r="Q296" i="2"/>
  <c r="P296" i="2"/>
  <c r="O296" i="2"/>
  <c r="M296" i="2"/>
  <c r="I296" i="2"/>
  <c r="H296" i="2"/>
  <c r="F296" i="2"/>
  <c r="D296" i="2"/>
  <c r="C296" i="2"/>
  <c r="Q295" i="2"/>
  <c r="P295" i="2"/>
  <c r="O295" i="2"/>
  <c r="M295" i="2"/>
  <c r="L295" i="2"/>
  <c r="R295" i="2" s="1"/>
  <c r="I295" i="2"/>
  <c r="H295" i="2"/>
  <c r="F295" i="2"/>
  <c r="D295" i="2"/>
  <c r="C295" i="2"/>
  <c r="Q294" i="2"/>
  <c r="P294" i="2"/>
  <c r="O294" i="2"/>
  <c r="M294" i="2"/>
  <c r="I294" i="2"/>
  <c r="H294" i="2"/>
  <c r="F294" i="2"/>
  <c r="D294" i="2"/>
  <c r="C294" i="2"/>
  <c r="Q293" i="2"/>
  <c r="P293" i="2"/>
  <c r="O293" i="2"/>
  <c r="M293" i="2"/>
  <c r="I293" i="2"/>
  <c r="H293" i="2"/>
  <c r="F293" i="2"/>
  <c r="D293" i="2"/>
  <c r="L293" i="2" s="1"/>
  <c r="R293" i="2" s="1"/>
  <c r="C293" i="2"/>
  <c r="Q292" i="2"/>
  <c r="P292" i="2"/>
  <c r="O292" i="2"/>
  <c r="M292" i="2"/>
  <c r="L292" i="2"/>
  <c r="I292" i="2"/>
  <c r="H292" i="2"/>
  <c r="F292" i="2"/>
  <c r="D292" i="2"/>
  <c r="C292" i="2"/>
  <c r="Q291" i="2"/>
  <c r="P291" i="2"/>
  <c r="O291" i="2"/>
  <c r="M291" i="2"/>
  <c r="I291" i="2"/>
  <c r="H291" i="2"/>
  <c r="F291" i="2"/>
  <c r="D291" i="2"/>
  <c r="C291" i="2"/>
  <c r="Q290" i="2"/>
  <c r="P290" i="2"/>
  <c r="O290" i="2"/>
  <c r="M290" i="2"/>
  <c r="I290" i="2"/>
  <c r="L290" i="2" s="1"/>
  <c r="R290" i="2" s="1"/>
  <c r="H290" i="2"/>
  <c r="F290" i="2"/>
  <c r="D290" i="2"/>
  <c r="C290" i="2"/>
  <c r="Q289" i="2"/>
  <c r="P289" i="2"/>
  <c r="O289" i="2"/>
  <c r="M289" i="2"/>
  <c r="L289" i="2"/>
  <c r="R289" i="2" s="1"/>
  <c r="I289" i="2"/>
  <c r="H289" i="2"/>
  <c r="F289" i="2"/>
  <c r="D289" i="2"/>
  <c r="C289" i="2"/>
  <c r="Q288" i="2"/>
  <c r="P288" i="2"/>
  <c r="O288" i="2"/>
  <c r="M288" i="2"/>
  <c r="I288" i="2"/>
  <c r="H288" i="2"/>
  <c r="F288" i="2"/>
  <c r="D288" i="2"/>
  <c r="C288" i="2"/>
  <c r="Q287" i="2"/>
  <c r="P287" i="2"/>
  <c r="O287" i="2"/>
  <c r="M287" i="2"/>
  <c r="L287" i="2"/>
  <c r="R287" i="2" s="1"/>
  <c r="I287" i="2"/>
  <c r="H287" i="2"/>
  <c r="F287" i="2"/>
  <c r="D287" i="2"/>
  <c r="C287" i="2"/>
  <c r="Q286" i="2"/>
  <c r="P286" i="2"/>
  <c r="O286" i="2"/>
  <c r="M286" i="2"/>
  <c r="I286" i="2"/>
  <c r="H286" i="2"/>
  <c r="F286" i="2"/>
  <c r="D286" i="2"/>
  <c r="C286" i="2"/>
  <c r="Q285" i="2"/>
  <c r="P285" i="2"/>
  <c r="O285" i="2"/>
  <c r="M285" i="2"/>
  <c r="I285" i="2"/>
  <c r="H285" i="2"/>
  <c r="F285" i="2"/>
  <c r="D285" i="2"/>
  <c r="L285" i="2" s="1"/>
  <c r="R285" i="2" s="1"/>
  <c r="C285" i="2"/>
  <c r="Q284" i="2"/>
  <c r="P284" i="2"/>
  <c r="O284" i="2"/>
  <c r="M284" i="2"/>
  <c r="L284" i="2"/>
  <c r="I284" i="2"/>
  <c r="R284" i="2" s="1"/>
  <c r="H284" i="2"/>
  <c r="F284" i="2"/>
  <c r="D284" i="2"/>
  <c r="C284" i="2"/>
  <c r="Q283" i="2"/>
  <c r="P283" i="2"/>
  <c r="O283" i="2"/>
  <c r="M283" i="2"/>
  <c r="I283" i="2"/>
  <c r="H283" i="2"/>
  <c r="F283" i="2"/>
  <c r="D283" i="2"/>
  <c r="C283" i="2"/>
  <c r="Q282" i="2"/>
  <c r="P282" i="2"/>
  <c r="O282" i="2"/>
  <c r="M282" i="2"/>
  <c r="I282" i="2"/>
  <c r="L282" i="2" s="1"/>
  <c r="R282" i="2" s="1"/>
  <c r="H282" i="2"/>
  <c r="F282" i="2"/>
  <c r="D282" i="2"/>
  <c r="C282" i="2"/>
  <c r="Q281" i="2"/>
  <c r="P281" i="2"/>
  <c r="O281" i="2"/>
  <c r="M281" i="2"/>
  <c r="L281" i="2"/>
  <c r="R281" i="2" s="1"/>
  <c r="I281" i="2"/>
  <c r="H281" i="2"/>
  <c r="F281" i="2"/>
  <c r="D281" i="2"/>
  <c r="C281" i="2"/>
  <c r="Q280" i="2"/>
  <c r="P280" i="2"/>
  <c r="O280" i="2"/>
  <c r="M280" i="2"/>
  <c r="I280" i="2"/>
  <c r="L280" i="2" s="1"/>
  <c r="H280" i="2"/>
  <c r="F280" i="2"/>
  <c r="D280" i="2"/>
  <c r="C280" i="2"/>
  <c r="Q279" i="2"/>
  <c r="P279" i="2"/>
  <c r="O279" i="2"/>
  <c r="M279" i="2"/>
  <c r="L279" i="2"/>
  <c r="R279" i="2" s="1"/>
  <c r="I279" i="2"/>
  <c r="H279" i="2"/>
  <c r="F279" i="2"/>
  <c r="D279" i="2"/>
  <c r="C279" i="2"/>
  <c r="Q278" i="2"/>
  <c r="P278" i="2"/>
  <c r="O278" i="2"/>
  <c r="M278" i="2"/>
  <c r="I278" i="2"/>
  <c r="H278" i="2"/>
  <c r="F278" i="2"/>
  <c r="D278" i="2"/>
  <c r="C278" i="2"/>
  <c r="Q277" i="2"/>
  <c r="P277" i="2"/>
  <c r="O277" i="2"/>
  <c r="M277" i="2"/>
  <c r="I277" i="2"/>
  <c r="H277" i="2"/>
  <c r="F277" i="2"/>
  <c r="D277" i="2"/>
  <c r="L277" i="2" s="1"/>
  <c r="R277" i="2" s="1"/>
  <c r="C277" i="2"/>
  <c r="Q276" i="2"/>
  <c r="P276" i="2"/>
  <c r="O276" i="2"/>
  <c r="M276" i="2"/>
  <c r="I276" i="2"/>
  <c r="H276" i="2"/>
  <c r="F276" i="2"/>
  <c r="D276" i="2"/>
  <c r="C276" i="2"/>
  <c r="Q275" i="2"/>
  <c r="P275" i="2"/>
  <c r="O275" i="2"/>
  <c r="M275" i="2"/>
  <c r="I275" i="2"/>
  <c r="H275" i="2"/>
  <c r="F275" i="2"/>
  <c r="D275" i="2"/>
  <c r="C275" i="2"/>
  <c r="R274" i="2"/>
  <c r="Q274" i="2"/>
  <c r="P274" i="2"/>
  <c r="O274" i="2"/>
  <c r="M274" i="2"/>
  <c r="I274" i="2"/>
  <c r="L274" i="2" s="1"/>
  <c r="H274" i="2"/>
  <c r="F274" i="2"/>
  <c r="D274" i="2"/>
  <c r="C274" i="2"/>
  <c r="Q273" i="2"/>
  <c r="P273" i="2"/>
  <c r="O273" i="2"/>
  <c r="M273" i="2"/>
  <c r="L273" i="2"/>
  <c r="R273" i="2" s="1"/>
  <c r="I273" i="2"/>
  <c r="H273" i="2"/>
  <c r="F273" i="2"/>
  <c r="D273" i="2"/>
  <c r="C273" i="2"/>
  <c r="Q272" i="2"/>
  <c r="P272" i="2"/>
  <c r="O272" i="2"/>
  <c r="M272" i="2"/>
  <c r="I272" i="2"/>
  <c r="H272" i="2"/>
  <c r="F272" i="2"/>
  <c r="D272" i="2"/>
  <c r="C272" i="2"/>
  <c r="Q271" i="2"/>
  <c r="P271" i="2"/>
  <c r="O271" i="2"/>
  <c r="M271" i="2"/>
  <c r="L271" i="2"/>
  <c r="R271" i="2" s="1"/>
  <c r="I271" i="2"/>
  <c r="H271" i="2"/>
  <c r="F271" i="2"/>
  <c r="D271" i="2"/>
  <c r="C271" i="2"/>
  <c r="Q270" i="2"/>
  <c r="P270" i="2"/>
  <c r="O270" i="2"/>
  <c r="M270" i="2"/>
  <c r="I270" i="2"/>
  <c r="H270" i="2"/>
  <c r="F270" i="2"/>
  <c r="D270" i="2"/>
  <c r="C270" i="2"/>
  <c r="Q269" i="2"/>
  <c r="P269" i="2"/>
  <c r="O269" i="2"/>
  <c r="M269" i="2"/>
  <c r="I269" i="2"/>
  <c r="H269" i="2"/>
  <c r="F269" i="2"/>
  <c r="D269" i="2"/>
  <c r="L269" i="2" s="1"/>
  <c r="R269" i="2" s="1"/>
  <c r="C269" i="2"/>
  <c r="Q268" i="2"/>
  <c r="P268" i="2"/>
  <c r="O268" i="2"/>
  <c r="M268" i="2"/>
  <c r="I268" i="2"/>
  <c r="H268" i="2"/>
  <c r="F268" i="2"/>
  <c r="D268" i="2"/>
  <c r="C268" i="2"/>
  <c r="Q267" i="2"/>
  <c r="P267" i="2"/>
  <c r="O267" i="2"/>
  <c r="M267" i="2"/>
  <c r="I267" i="2"/>
  <c r="H267" i="2"/>
  <c r="F267" i="2"/>
  <c r="D267" i="2"/>
  <c r="C267" i="2"/>
  <c r="R266" i="2"/>
  <c r="Q266" i="2"/>
  <c r="P266" i="2"/>
  <c r="O266" i="2"/>
  <c r="M266" i="2"/>
  <c r="L266" i="2"/>
  <c r="I266" i="2"/>
  <c r="H266" i="2"/>
  <c r="F266" i="2"/>
  <c r="D266" i="2"/>
  <c r="C266" i="2"/>
  <c r="Q265" i="2"/>
  <c r="P265" i="2"/>
  <c r="O265" i="2"/>
  <c r="M265" i="2"/>
  <c r="L265" i="2"/>
  <c r="R265" i="2" s="1"/>
  <c r="I265" i="2"/>
  <c r="H265" i="2"/>
  <c r="F265" i="2"/>
  <c r="D265" i="2"/>
  <c r="C265" i="2"/>
  <c r="Q264" i="2"/>
  <c r="P264" i="2"/>
  <c r="O264" i="2"/>
  <c r="M264" i="2"/>
  <c r="I264" i="2"/>
  <c r="H264" i="2"/>
  <c r="F264" i="2"/>
  <c r="D264" i="2"/>
  <c r="C264" i="2"/>
  <c r="Q263" i="2"/>
  <c r="P263" i="2"/>
  <c r="O263" i="2"/>
  <c r="M263" i="2"/>
  <c r="I263" i="2"/>
  <c r="H263" i="2"/>
  <c r="F263" i="2"/>
  <c r="D263" i="2"/>
  <c r="L263" i="2" s="1"/>
  <c r="R263" i="2" s="1"/>
  <c r="C263" i="2"/>
  <c r="Q262" i="2"/>
  <c r="P262" i="2"/>
  <c r="O262" i="2"/>
  <c r="M262" i="2"/>
  <c r="I262" i="2"/>
  <c r="H262" i="2"/>
  <c r="F262" i="2"/>
  <c r="D262" i="2"/>
  <c r="C262" i="2"/>
  <c r="R261" i="2"/>
  <c r="Q261" i="2"/>
  <c r="P261" i="2"/>
  <c r="O261" i="2"/>
  <c r="M261" i="2"/>
  <c r="L261" i="2"/>
  <c r="I261" i="2"/>
  <c r="H261" i="2"/>
  <c r="F261" i="2"/>
  <c r="D261" i="2"/>
  <c r="C261" i="2"/>
  <c r="Q260" i="2"/>
  <c r="P260" i="2"/>
  <c r="O260" i="2"/>
  <c r="M260" i="2"/>
  <c r="I260" i="2"/>
  <c r="H260" i="2"/>
  <c r="F260" i="2"/>
  <c r="D260" i="2"/>
  <c r="C260" i="2"/>
  <c r="Q259" i="2"/>
  <c r="P259" i="2"/>
  <c r="O259" i="2"/>
  <c r="M259" i="2"/>
  <c r="L259" i="2"/>
  <c r="R259" i="2" s="1"/>
  <c r="I259" i="2"/>
  <c r="H259" i="2"/>
  <c r="F259" i="2"/>
  <c r="D259" i="2"/>
  <c r="C259" i="2"/>
  <c r="Q258" i="2"/>
  <c r="P258" i="2"/>
  <c r="O258" i="2"/>
  <c r="M258" i="2"/>
  <c r="L258" i="2"/>
  <c r="R258" i="2" s="1"/>
  <c r="I258" i="2"/>
  <c r="H258" i="2"/>
  <c r="F258" i="2"/>
  <c r="D258" i="2"/>
  <c r="C258" i="2"/>
  <c r="Q257" i="2"/>
  <c r="P257" i="2"/>
  <c r="O257" i="2"/>
  <c r="M257" i="2"/>
  <c r="I257" i="2"/>
  <c r="R257" i="2" s="1"/>
  <c r="H257" i="2"/>
  <c r="F257" i="2"/>
  <c r="D257" i="2"/>
  <c r="L257" i="2" s="1"/>
  <c r="C257" i="2"/>
  <c r="Q256" i="2"/>
  <c r="P256" i="2"/>
  <c r="O256" i="2"/>
  <c r="M256" i="2"/>
  <c r="I256" i="2"/>
  <c r="H256" i="2"/>
  <c r="F256" i="2"/>
  <c r="D256" i="2"/>
  <c r="C256" i="2"/>
  <c r="Q255" i="2"/>
  <c r="P255" i="2"/>
  <c r="O255" i="2"/>
  <c r="M255" i="2"/>
  <c r="L255" i="2"/>
  <c r="R255" i="2" s="1"/>
  <c r="I255" i="2"/>
  <c r="H255" i="2"/>
  <c r="F255" i="2"/>
  <c r="D255" i="2"/>
  <c r="C255" i="2"/>
  <c r="Q254" i="2"/>
  <c r="P254" i="2"/>
  <c r="O254" i="2"/>
  <c r="M254" i="2"/>
  <c r="I254" i="2"/>
  <c r="H254" i="2"/>
  <c r="F254" i="2"/>
  <c r="D254" i="2"/>
  <c r="C254" i="2"/>
  <c r="Q253" i="2"/>
  <c r="P253" i="2"/>
  <c r="O253" i="2"/>
  <c r="M253" i="2"/>
  <c r="I253" i="2"/>
  <c r="H253" i="2"/>
  <c r="F253" i="2"/>
  <c r="D253" i="2"/>
  <c r="L253" i="2" s="1"/>
  <c r="R253" i="2" s="1"/>
  <c r="C253" i="2"/>
  <c r="Q252" i="2"/>
  <c r="P252" i="2"/>
  <c r="O252" i="2"/>
  <c r="M252" i="2"/>
  <c r="L252" i="2"/>
  <c r="I252" i="2"/>
  <c r="H252" i="2"/>
  <c r="F252" i="2"/>
  <c r="D252" i="2"/>
  <c r="C252" i="2"/>
  <c r="Q251" i="2"/>
  <c r="P251" i="2"/>
  <c r="O251" i="2"/>
  <c r="M251" i="2"/>
  <c r="I251" i="2"/>
  <c r="H251" i="2"/>
  <c r="F251" i="2"/>
  <c r="D251" i="2"/>
  <c r="L251" i="2" s="1"/>
  <c r="C251" i="2"/>
  <c r="R250" i="2"/>
  <c r="Q250" i="2"/>
  <c r="P250" i="2"/>
  <c r="O250" i="2"/>
  <c r="M250" i="2"/>
  <c r="L250" i="2"/>
  <c r="I250" i="2"/>
  <c r="H250" i="2"/>
  <c r="F250" i="2"/>
  <c r="D250" i="2"/>
  <c r="C250" i="2"/>
  <c r="Q249" i="2"/>
  <c r="P249" i="2"/>
  <c r="O249" i="2"/>
  <c r="M249" i="2"/>
  <c r="L249" i="2"/>
  <c r="R249" i="2" s="1"/>
  <c r="I249" i="2"/>
  <c r="H249" i="2"/>
  <c r="F249" i="2"/>
  <c r="D249" i="2"/>
  <c r="C249" i="2"/>
  <c r="Q248" i="2"/>
  <c r="P248" i="2"/>
  <c r="O248" i="2"/>
  <c r="M248" i="2"/>
  <c r="I248" i="2"/>
  <c r="H248" i="2"/>
  <c r="F248" i="2"/>
  <c r="D248" i="2"/>
  <c r="C248" i="2"/>
  <c r="Q247" i="2"/>
  <c r="P247" i="2"/>
  <c r="O247" i="2"/>
  <c r="M247" i="2"/>
  <c r="I247" i="2"/>
  <c r="H247" i="2"/>
  <c r="F247" i="2"/>
  <c r="D247" i="2"/>
  <c r="L247" i="2" s="1"/>
  <c r="R247" i="2" s="1"/>
  <c r="C247" i="2"/>
  <c r="Q246" i="2"/>
  <c r="P246" i="2"/>
  <c r="O246" i="2"/>
  <c r="M246" i="2"/>
  <c r="I246" i="2"/>
  <c r="H246" i="2"/>
  <c r="F246" i="2"/>
  <c r="D246" i="2"/>
  <c r="C246" i="2"/>
  <c r="R245" i="2"/>
  <c r="Q245" i="2"/>
  <c r="P245" i="2"/>
  <c r="O245" i="2"/>
  <c r="M245" i="2"/>
  <c r="L245" i="2"/>
  <c r="I245" i="2"/>
  <c r="H245" i="2"/>
  <c r="F245" i="2"/>
  <c r="D245" i="2"/>
  <c r="C245" i="2"/>
  <c r="Q244" i="2"/>
  <c r="P244" i="2"/>
  <c r="O244" i="2"/>
  <c r="M244" i="2"/>
  <c r="L244" i="2"/>
  <c r="I244" i="2"/>
  <c r="H244" i="2"/>
  <c r="F244" i="2"/>
  <c r="D244" i="2"/>
  <c r="C244" i="2"/>
  <c r="Q243" i="2"/>
  <c r="P243" i="2"/>
  <c r="O243" i="2"/>
  <c r="M243" i="2"/>
  <c r="L243" i="2"/>
  <c r="I243" i="2"/>
  <c r="H243" i="2"/>
  <c r="F243" i="2"/>
  <c r="D243" i="2"/>
  <c r="C243" i="2"/>
  <c r="R242" i="2"/>
  <c r="Q242" i="2"/>
  <c r="P242" i="2"/>
  <c r="O242" i="2"/>
  <c r="M242" i="2"/>
  <c r="L242" i="2"/>
  <c r="I242" i="2"/>
  <c r="H242" i="2"/>
  <c r="F242" i="2"/>
  <c r="D242" i="2"/>
  <c r="C242" i="2"/>
  <c r="Q241" i="2"/>
  <c r="P241" i="2"/>
  <c r="O241" i="2"/>
  <c r="M241" i="2"/>
  <c r="I241" i="2"/>
  <c r="H241" i="2"/>
  <c r="F241" i="2"/>
  <c r="D241" i="2"/>
  <c r="C241" i="2"/>
  <c r="Q240" i="2"/>
  <c r="P240" i="2"/>
  <c r="O240" i="2"/>
  <c r="M240" i="2"/>
  <c r="I240" i="2"/>
  <c r="H240" i="2"/>
  <c r="F240" i="2"/>
  <c r="D240" i="2"/>
  <c r="C240" i="2"/>
  <c r="Q239" i="2"/>
  <c r="P239" i="2"/>
  <c r="O239" i="2"/>
  <c r="M239" i="2"/>
  <c r="L239" i="2"/>
  <c r="R239" i="2" s="1"/>
  <c r="I239" i="2"/>
  <c r="H239" i="2"/>
  <c r="F239" i="2"/>
  <c r="D239" i="2"/>
  <c r="C239" i="2"/>
  <c r="Q238" i="2"/>
  <c r="P238" i="2"/>
  <c r="O238" i="2"/>
  <c r="M238" i="2"/>
  <c r="I238" i="2"/>
  <c r="H238" i="2"/>
  <c r="F238" i="2"/>
  <c r="D238" i="2"/>
  <c r="C238" i="2"/>
  <c r="Q237" i="2"/>
  <c r="P237" i="2"/>
  <c r="O237" i="2"/>
  <c r="M237" i="2"/>
  <c r="I237" i="2"/>
  <c r="H237" i="2"/>
  <c r="F237" i="2"/>
  <c r="D237" i="2"/>
  <c r="L237" i="2" s="1"/>
  <c r="R237" i="2" s="1"/>
  <c r="C237" i="2"/>
  <c r="Q236" i="2"/>
  <c r="P236" i="2"/>
  <c r="O236" i="2"/>
  <c r="M236" i="2"/>
  <c r="L236" i="2"/>
  <c r="I236" i="2"/>
  <c r="H236" i="2"/>
  <c r="F236" i="2"/>
  <c r="D236" i="2"/>
  <c r="C236" i="2"/>
  <c r="Q235" i="2"/>
  <c r="P235" i="2"/>
  <c r="O235" i="2"/>
  <c r="M235" i="2"/>
  <c r="I235" i="2"/>
  <c r="H235" i="2"/>
  <c r="F235" i="2"/>
  <c r="D235" i="2"/>
  <c r="C235" i="2"/>
  <c r="Q234" i="2"/>
  <c r="P234" i="2"/>
  <c r="O234" i="2"/>
  <c r="M234" i="2"/>
  <c r="I234" i="2"/>
  <c r="H234" i="2"/>
  <c r="F234" i="2"/>
  <c r="D234" i="2"/>
  <c r="C234" i="2"/>
  <c r="Q233" i="2"/>
  <c r="P233" i="2"/>
  <c r="O233" i="2"/>
  <c r="M233" i="2"/>
  <c r="L233" i="2"/>
  <c r="I233" i="2"/>
  <c r="R233" i="2" s="1"/>
  <c r="H233" i="2"/>
  <c r="F233" i="2"/>
  <c r="D233" i="2"/>
  <c r="C233" i="2"/>
  <c r="Q232" i="2"/>
  <c r="P232" i="2"/>
  <c r="O232" i="2"/>
  <c r="M232" i="2"/>
  <c r="I232" i="2"/>
  <c r="H232" i="2"/>
  <c r="F232" i="2"/>
  <c r="D232" i="2"/>
  <c r="C232" i="2"/>
  <c r="Q231" i="2"/>
  <c r="P231" i="2"/>
  <c r="O231" i="2"/>
  <c r="M231" i="2"/>
  <c r="I231" i="2"/>
  <c r="H231" i="2"/>
  <c r="F231" i="2"/>
  <c r="D231" i="2"/>
  <c r="L231" i="2" s="1"/>
  <c r="R231" i="2" s="1"/>
  <c r="C231" i="2"/>
  <c r="Q230" i="2"/>
  <c r="P230" i="2"/>
  <c r="O230" i="2"/>
  <c r="M230" i="2"/>
  <c r="I230" i="2"/>
  <c r="H230" i="2"/>
  <c r="F230" i="2"/>
  <c r="D230" i="2"/>
  <c r="C230" i="2"/>
  <c r="R229" i="2"/>
  <c r="Q229" i="2"/>
  <c r="P229" i="2"/>
  <c r="O229" i="2"/>
  <c r="M229" i="2"/>
  <c r="L229" i="2"/>
  <c r="I229" i="2"/>
  <c r="H229" i="2"/>
  <c r="F229" i="2"/>
  <c r="D229" i="2"/>
  <c r="C229" i="2"/>
  <c r="Q228" i="2"/>
  <c r="P228" i="2"/>
  <c r="O228" i="2"/>
  <c r="M228" i="2"/>
  <c r="L228" i="2"/>
  <c r="I228" i="2"/>
  <c r="H228" i="2"/>
  <c r="F228" i="2"/>
  <c r="D228" i="2"/>
  <c r="C228" i="2"/>
  <c r="Q227" i="2"/>
  <c r="P227" i="2"/>
  <c r="O227" i="2"/>
  <c r="M227" i="2"/>
  <c r="L227" i="2"/>
  <c r="I227" i="2"/>
  <c r="H227" i="2"/>
  <c r="F227" i="2"/>
  <c r="D227" i="2"/>
  <c r="C227" i="2"/>
  <c r="R226" i="2"/>
  <c r="Q226" i="2"/>
  <c r="P226" i="2"/>
  <c r="O226" i="2"/>
  <c r="M226" i="2"/>
  <c r="L226" i="2"/>
  <c r="I226" i="2"/>
  <c r="H226" i="2"/>
  <c r="F226" i="2"/>
  <c r="D226" i="2"/>
  <c r="C226" i="2"/>
  <c r="Q225" i="2"/>
  <c r="P225" i="2"/>
  <c r="O225" i="2"/>
  <c r="M225" i="2"/>
  <c r="I225" i="2"/>
  <c r="H225" i="2"/>
  <c r="F225" i="2"/>
  <c r="D225" i="2"/>
  <c r="C225" i="2"/>
  <c r="Q224" i="2"/>
  <c r="P224" i="2"/>
  <c r="O224" i="2"/>
  <c r="M224" i="2"/>
  <c r="I224" i="2"/>
  <c r="L224" i="2" s="1"/>
  <c r="H224" i="2"/>
  <c r="F224" i="2"/>
  <c r="D224" i="2"/>
  <c r="C224" i="2"/>
  <c r="Q223" i="2"/>
  <c r="P223" i="2"/>
  <c r="O223" i="2"/>
  <c r="M223" i="2"/>
  <c r="L223" i="2"/>
  <c r="R223" i="2" s="1"/>
  <c r="I223" i="2"/>
  <c r="H223" i="2"/>
  <c r="F223" i="2"/>
  <c r="D223" i="2"/>
  <c r="C223" i="2"/>
  <c r="Q222" i="2"/>
  <c r="P222" i="2"/>
  <c r="O222" i="2"/>
  <c r="M222" i="2"/>
  <c r="I222" i="2"/>
  <c r="H222" i="2"/>
  <c r="F222" i="2"/>
  <c r="D222" i="2"/>
  <c r="C222" i="2"/>
  <c r="Q221" i="2"/>
  <c r="P221" i="2"/>
  <c r="O221" i="2"/>
  <c r="M221" i="2"/>
  <c r="I221" i="2"/>
  <c r="H221" i="2"/>
  <c r="F221" i="2"/>
  <c r="D221" i="2"/>
  <c r="L221" i="2" s="1"/>
  <c r="R221" i="2" s="1"/>
  <c r="C221" i="2"/>
  <c r="Q220" i="2"/>
  <c r="P220" i="2"/>
  <c r="O220" i="2"/>
  <c r="M220" i="2"/>
  <c r="L220" i="2"/>
  <c r="I220" i="2"/>
  <c r="H220" i="2"/>
  <c r="F220" i="2"/>
  <c r="D220" i="2"/>
  <c r="C220" i="2"/>
  <c r="Q219" i="2"/>
  <c r="P219" i="2"/>
  <c r="O219" i="2"/>
  <c r="M219" i="2"/>
  <c r="I219" i="2"/>
  <c r="H219" i="2"/>
  <c r="F219" i="2"/>
  <c r="D219" i="2"/>
  <c r="C219" i="2"/>
  <c r="Q218" i="2"/>
  <c r="P218" i="2"/>
  <c r="O218" i="2"/>
  <c r="M218" i="2"/>
  <c r="I218" i="2"/>
  <c r="H218" i="2"/>
  <c r="F218" i="2"/>
  <c r="D218" i="2"/>
  <c r="C218" i="2"/>
  <c r="Q217" i="2"/>
  <c r="P217" i="2"/>
  <c r="O217" i="2"/>
  <c r="M217" i="2"/>
  <c r="L217" i="2"/>
  <c r="I217" i="2"/>
  <c r="R217" i="2" s="1"/>
  <c r="H217" i="2"/>
  <c r="F217" i="2"/>
  <c r="D217" i="2"/>
  <c r="C217" i="2"/>
  <c r="Q216" i="2"/>
  <c r="P216" i="2"/>
  <c r="O216" i="2"/>
  <c r="M216" i="2"/>
  <c r="I216" i="2"/>
  <c r="H216" i="2"/>
  <c r="F216" i="2"/>
  <c r="D216" i="2"/>
  <c r="C216" i="2"/>
  <c r="Q215" i="2"/>
  <c r="P215" i="2"/>
  <c r="O215" i="2"/>
  <c r="M215" i="2"/>
  <c r="I215" i="2"/>
  <c r="H215" i="2"/>
  <c r="F215" i="2"/>
  <c r="D215" i="2"/>
  <c r="L215" i="2" s="1"/>
  <c r="R215" i="2" s="1"/>
  <c r="C215" i="2"/>
  <c r="Q214" i="2"/>
  <c r="P214" i="2"/>
  <c r="O214" i="2"/>
  <c r="M214" i="2"/>
  <c r="I214" i="2"/>
  <c r="H214" i="2"/>
  <c r="F214" i="2"/>
  <c r="D214" i="2"/>
  <c r="C214" i="2"/>
  <c r="R213" i="2"/>
  <c r="Q213" i="2"/>
  <c r="P213" i="2"/>
  <c r="O213" i="2"/>
  <c r="M213" i="2"/>
  <c r="L213" i="2"/>
  <c r="I213" i="2"/>
  <c r="H213" i="2"/>
  <c r="F213" i="2"/>
  <c r="D213" i="2"/>
  <c r="C213" i="2"/>
  <c r="Q212" i="2"/>
  <c r="P212" i="2"/>
  <c r="O212" i="2"/>
  <c r="M212" i="2"/>
  <c r="L212" i="2"/>
  <c r="I212" i="2"/>
  <c r="H212" i="2"/>
  <c r="F212" i="2"/>
  <c r="D212" i="2"/>
  <c r="C212" i="2"/>
  <c r="Q211" i="2"/>
  <c r="P211" i="2"/>
  <c r="O211" i="2"/>
  <c r="M211" i="2"/>
  <c r="L211" i="2"/>
  <c r="I211" i="2"/>
  <c r="H211" i="2"/>
  <c r="F211" i="2"/>
  <c r="D211" i="2"/>
  <c r="C211" i="2"/>
  <c r="R210" i="2"/>
  <c r="Q210" i="2"/>
  <c r="P210" i="2"/>
  <c r="O210" i="2"/>
  <c r="M210" i="2"/>
  <c r="L210" i="2"/>
  <c r="I210" i="2"/>
  <c r="H210" i="2"/>
  <c r="F210" i="2"/>
  <c r="D210" i="2"/>
  <c r="C210" i="2"/>
  <c r="Q209" i="2"/>
  <c r="P209" i="2"/>
  <c r="O209" i="2"/>
  <c r="M209" i="2"/>
  <c r="I209" i="2"/>
  <c r="H209" i="2"/>
  <c r="F209" i="2"/>
  <c r="D209" i="2"/>
  <c r="C209" i="2"/>
  <c r="Q208" i="2"/>
  <c r="P208" i="2"/>
  <c r="O208" i="2"/>
  <c r="M208" i="2"/>
  <c r="I208" i="2"/>
  <c r="H208" i="2"/>
  <c r="F208" i="2"/>
  <c r="D208" i="2"/>
  <c r="C208" i="2"/>
  <c r="Q207" i="2"/>
  <c r="P207" i="2"/>
  <c r="O207" i="2"/>
  <c r="M207" i="2"/>
  <c r="I207" i="2"/>
  <c r="H207" i="2"/>
  <c r="F207" i="2"/>
  <c r="D207" i="2"/>
  <c r="L207" i="2" s="1"/>
  <c r="R207" i="2" s="1"/>
  <c r="C207" i="2"/>
  <c r="Q206" i="2"/>
  <c r="P206" i="2"/>
  <c r="O206" i="2"/>
  <c r="M206" i="2"/>
  <c r="L206" i="2"/>
  <c r="I206" i="2"/>
  <c r="H206" i="2"/>
  <c r="F206" i="2"/>
  <c r="D206" i="2"/>
  <c r="C206" i="2"/>
  <c r="Q205" i="2"/>
  <c r="P205" i="2"/>
  <c r="O205" i="2"/>
  <c r="M205" i="2"/>
  <c r="I205" i="2"/>
  <c r="H205" i="2"/>
  <c r="F205" i="2"/>
  <c r="D205" i="2"/>
  <c r="C205" i="2"/>
  <c r="Q204" i="2"/>
  <c r="P204" i="2"/>
  <c r="O204" i="2"/>
  <c r="M204" i="2"/>
  <c r="I204" i="2"/>
  <c r="H204" i="2"/>
  <c r="F204" i="2"/>
  <c r="D204" i="2"/>
  <c r="C204" i="2"/>
  <c r="Q203" i="2"/>
  <c r="P203" i="2"/>
  <c r="O203" i="2"/>
  <c r="M203" i="2"/>
  <c r="I203" i="2"/>
  <c r="L203" i="2" s="1"/>
  <c r="R203" i="2" s="1"/>
  <c r="H203" i="2"/>
  <c r="F203" i="2"/>
  <c r="D203" i="2"/>
  <c r="C203" i="2"/>
  <c r="Q202" i="2"/>
  <c r="P202" i="2"/>
  <c r="O202" i="2"/>
  <c r="M202" i="2"/>
  <c r="L202" i="2"/>
  <c r="I202" i="2"/>
  <c r="H202" i="2"/>
  <c r="F202" i="2"/>
  <c r="D202" i="2"/>
  <c r="C202" i="2"/>
  <c r="R201" i="2"/>
  <c r="Q201" i="2"/>
  <c r="P201" i="2"/>
  <c r="O201" i="2"/>
  <c r="M201" i="2"/>
  <c r="L201" i="2"/>
  <c r="I201" i="2"/>
  <c r="H201" i="2"/>
  <c r="F201" i="2"/>
  <c r="D201" i="2"/>
  <c r="C201" i="2"/>
  <c r="Q200" i="2"/>
  <c r="P200" i="2"/>
  <c r="O200" i="2"/>
  <c r="M200" i="2"/>
  <c r="I200" i="2"/>
  <c r="L200" i="2" s="1"/>
  <c r="H200" i="2"/>
  <c r="F200" i="2"/>
  <c r="D200" i="2"/>
  <c r="C200" i="2"/>
  <c r="Q199" i="2"/>
  <c r="P199" i="2"/>
  <c r="O199" i="2"/>
  <c r="M199" i="2"/>
  <c r="I199" i="2"/>
  <c r="H199" i="2"/>
  <c r="F199" i="2"/>
  <c r="D199" i="2"/>
  <c r="L199" i="2" s="1"/>
  <c r="R199" i="2" s="1"/>
  <c r="C199" i="2"/>
  <c r="Q198" i="2"/>
  <c r="P198" i="2"/>
  <c r="O198" i="2"/>
  <c r="M198" i="2"/>
  <c r="I198" i="2"/>
  <c r="H198" i="2"/>
  <c r="F198" i="2"/>
  <c r="D198" i="2"/>
  <c r="C198" i="2"/>
  <c r="R197" i="2"/>
  <c r="Q197" i="2"/>
  <c r="P197" i="2"/>
  <c r="O197" i="2"/>
  <c r="M197" i="2"/>
  <c r="L197" i="2"/>
  <c r="I197" i="2"/>
  <c r="H197" i="2"/>
  <c r="F197" i="2"/>
  <c r="D197" i="2"/>
  <c r="C197" i="2"/>
  <c r="Q196" i="2"/>
  <c r="P196" i="2"/>
  <c r="O196" i="2"/>
  <c r="M196" i="2"/>
  <c r="L196" i="2"/>
  <c r="I196" i="2"/>
  <c r="H196" i="2"/>
  <c r="F196" i="2"/>
  <c r="D196" i="2"/>
  <c r="C196" i="2"/>
  <c r="Q195" i="2"/>
  <c r="P195" i="2"/>
  <c r="O195" i="2"/>
  <c r="M195" i="2"/>
  <c r="I195" i="2"/>
  <c r="H195" i="2"/>
  <c r="F195" i="2"/>
  <c r="D195" i="2"/>
  <c r="C195" i="2"/>
  <c r="Q194" i="2"/>
  <c r="P194" i="2"/>
  <c r="O194" i="2"/>
  <c r="M194" i="2"/>
  <c r="I194" i="2"/>
  <c r="H194" i="2"/>
  <c r="F194" i="2"/>
  <c r="D194" i="2"/>
  <c r="C194" i="2"/>
  <c r="Q193" i="2"/>
  <c r="P193" i="2"/>
  <c r="O193" i="2"/>
  <c r="M193" i="2"/>
  <c r="I193" i="2"/>
  <c r="L193" i="2" s="1"/>
  <c r="R193" i="2" s="1"/>
  <c r="H193" i="2"/>
  <c r="F193" i="2"/>
  <c r="D193" i="2"/>
  <c r="C193" i="2"/>
  <c r="Q192" i="2"/>
  <c r="P192" i="2"/>
  <c r="O192" i="2"/>
  <c r="M192" i="2"/>
  <c r="I192" i="2"/>
  <c r="H192" i="2"/>
  <c r="F192" i="2"/>
  <c r="D192" i="2"/>
  <c r="L192" i="2" s="1"/>
  <c r="R192" i="2" s="1"/>
  <c r="C192" i="2"/>
  <c r="Q191" i="2"/>
  <c r="P191" i="2"/>
  <c r="O191" i="2"/>
  <c r="M191" i="2"/>
  <c r="L191" i="2"/>
  <c r="I191" i="2"/>
  <c r="H191" i="2"/>
  <c r="F191" i="2"/>
  <c r="D191" i="2"/>
  <c r="C191" i="2"/>
  <c r="Q190" i="2"/>
  <c r="P190" i="2"/>
  <c r="O190" i="2"/>
  <c r="M190" i="2"/>
  <c r="I190" i="2"/>
  <c r="H190" i="2"/>
  <c r="F190" i="2"/>
  <c r="D190" i="2"/>
  <c r="C190" i="2"/>
  <c r="R189" i="2"/>
  <c r="Q189" i="2"/>
  <c r="P189" i="2"/>
  <c r="O189" i="2"/>
  <c r="M189" i="2"/>
  <c r="L189" i="2"/>
  <c r="I189" i="2"/>
  <c r="H189" i="2"/>
  <c r="F189" i="2"/>
  <c r="D189" i="2"/>
  <c r="C189" i="2"/>
  <c r="Q188" i="2"/>
  <c r="P188" i="2"/>
  <c r="O188" i="2"/>
  <c r="M188" i="2"/>
  <c r="L188" i="2"/>
  <c r="I188" i="2"/>
  <c r="H188" i="2"/>
  <c r="F188" i="2"/>
  <c r="D188" i="2"/>
  <c r="C188" i="2"/>
  <c r="Q187" i="2"/>
  <c r="P187" i="2"/>
  <c r="O187" i="2"/>
  <c r="M187" i="2"/>
  <c r="I187" i="2"/>
  <c r="H187" i="2"/>
  <c r="F187" i="2"/>
  <c r="D187" i="2"/>
  <c r="C187" i="2"/>
  <c r="Q186" i="2"/>
  <c r="P186" i="2"/>
  <c r="O186" i="2"/>
  <c r="M186" i="2"/>
  <c r="I186" i="2"/>
  <c r="H186" i="2"/>
  <c r="F186" i="2"/>
  <c r="D186" i="2"/>
  <c r="C186" i="2"/>
  <c r="Q185" i="2"/>
  <c r="P185" i="2"/>
  <c r="O185" i="2"/>
  <c r="M185" i="2"/>
  <c r="I185" i="2"/>
  <c r="L185" i="2" s="1"/>
  <c r="R185" i="2" s="1"/>
  <c r="H185" i="2"/>
  <c r="F185" i="2"/>
  <c r="D185" i="2"/>
  <c r="C185" i="2"/>
  <c r="Q184" i="2"/>
  <c r="P184" i="2"/>
  <c r="O184" i="2"/>
  <c r="M184" i="2"/>
  <c r="I184" i="2"/>
  <c r="H184" i="2"/>
  <c r="F184" i="2"/>
  <c r="D184" i="2"/>
  <c r="L184" i="2" s="1"/>
  <c r="R184" i="2" s="1"/>
  <c r="C184" i="2"/>
  <c r="Q183" i="2"/>
  <c r="P183" i="2"/>
  <c r="O183" i="2"/>
  <c r="M183" i="2"/>
  <c r="L183" i="2"/>
  <c r="I183" i="2"/>
  <c r="H183" i="2"/>
  <c r="F183" i="2"/>
  <c r="D183" i="2"/>
  <c r="C183" i="2"/>
  <c r="Q182" i="2"/>
  <c r="P182" i="2"/>
  <c r="O182" i="2"/>
  <c r="M182" i="2"/>
  <c r="I182" i="2"/>
  <c r="H182" i="2"/>
  <c r="F182" i="2"/>
  <c r="D182" i="2"/>
  <c r="C182" i="2"/>
  <c r="R181" i="2"/>
  <c r="Q181" i="2"/>
  <c r="P181" i="2"/>
  <c r="O181" i="2"/>
  <c r="M181" i="2"/>
  <c r="L181" i="2"/>
  <c r="I181" i="2"/>
  <c r="H181" i="2"/>
  <c r="F181" i="2"/>
  <c r="D181" i="2"/>
  <c r="C181" i="2"/>
  <c r="Q180" i="2"/>
  <c r="P180" i="2"/>
  <c r="O180" i="2"/>
  <c r="M180" i="2"/>
  <c r="L180" i="2"/>
  <c r="I180" i="2"/>
  <c r="H180" i="2"/>
  <c r="F180" i="2"/>
  <c r="D180" i="2"/>
  <c r="C180" i="2"/>
  <c r="Q179" i="2"/>
  <c r="P179" i="2"/>
  <c r="O179" i="2"/>
  <c r="M179" i="2"/>
  <c r="I179" i="2"/>
  <c r="H179" i="2"/>
  <c r="F179" i="2"/>
  <c r="D179" i="2"/>
  <c r="C179" i="2"/>
  <c r="Q178" i="2"/>
  <c r="P178" i="2"/>
  <c r="O178" i="2"/>
  <c r="M178" i="2"/>
  <c r="I178" i="2"/>
  <c r="H178" i="2"/>
  <c r="F178" i="2"/>
  <c r="D178" i="2"/>
  <c r="C178" i="2"/>
  <c r="Q177" i="2"/>
  <c r="P177" i="2"/>
  <c r="O177" i="2"/>
  <c r="M177" i="2"/>
  <c r="I177" i="2"/>
  <c r="L177" i="2" s="1"/>
  <c r="R177" i="2" s="1"/>
  <c r="H177" i="2"/>
  <c r="F177" i="2"/>
  <c r="D177" i="2"/>
  <c r="C177" i="2"/>
  <c r="Q176" i="2"/>
  <c r="P176" i="2"/>
  <c r="O176" i="2"/>
  <c r="M176" i="2"/>
  <c r="I176" i="2"/>
  <c r="H176" i="2"/>
  <c r="F176" i="2"/>
  <c r="D176" i="2"/>
  <c r="L176" i="2" s="1"/>
  <c r="R176" i="2" s="1"/>
  <c r="C176" i="2"/>
  <c r="Q175" i="2"/>
  <c r="P175" i="2"/>
  <c r="O175" i="2"/>
  <c r="M175" i="2"/>
  <c r="L175" i="2"/>
  <c r="I175" i="2"/>
  <c r="H175" i="2"/>
  <c r="F175" i="2"/>
  <c r="D175" i="2"/>
  <c r="C175" i="2"/>
  <c r="Q174" i="2"/>
  <c r="P174" i="2"/>
  <c r="O174" i="2"/>
  <c r="M174" i="2"/>
  <c r="I174" i="2"/>
  <c r="H174" i="2"/>
  <c r="F174" i="2"/>
  <c r="D174" i="2"/>
  <c r="C174" i="2"/>
  <c r="R173" i="2"/>
  <c r="Q173" i="2"/>
  <c r="P173" i="2"/>
  <c r="O173" i="2"/>
  <c r="M173" i="2"/>
  <c r="L173" i="2"/>
  <c r="I173" i="2"/>
  <c r="H173" i="2"/>
  <c r="F173" i="2"/>
  <c r="D173" i="2"/>
  <c r="C173" i="2"/>
  <c r="Q172" i="2"/>
  <c r="P172" i="2"/>
  <c r="O172" i="2"/>
  <c r="M172" i="2"/>
  <c r="L172" i="2"/>
  <c r="I172" i="2"/>
  <c r="H172" i="2"/>
  <c r="F172" i="2"/>
  <c r="D172" i="2"/>
  <c r="C172" i="2"/>
  <c r="Q171" i="2"/>
  <c r="P171" i="2"/>
  <c r="O171" i="2"/>
  <c r="M171" i="2"/>
  <c r="I171" i="2"/>
  <c r="H171" i="2"/>
  <c r="F171" i="2"/>
  <c r="D171" i="2"/>
  <c r="C171" i="2"/>
  <c r="Q170" i="2"/>
  <c r="P170" i="2"/>
  <c r="O170" i="2"/>
  <c r="M170" i="2"/>
  <c r="I170" i="2"/>
  <c r="H170" i="2"/>
  <c r="F170" i="2"/>
  <c r="D170" i="2"/>
  <c r="C170" i="2"/>
  <c r="Q169" i="2"/>
  <c r="P169" i="2"/>
  <c r="O169" i="2"/>
  <c r="M169" i="2"/>
  <c r="I169" i="2"/>
  <c r="L169" i="2" s="1"/>
  <c r="R169" i="2" s="1"/>
  <c r="H169" i="2"/>
  <c r="F169" i="2"/>
  <c r="D169" i="2"/>
  <c r="C169" i="2"/>
  <c r="Q168" i="2"/>
  <c r="P168" i="2"/>
  <c r="O168" i="2"/>
  <c r="M168" i="2"/>
  <c r="I168" i="2"/>
  <c r="H168" i="2"/>
  <c r="F168" i="2"/>
  <c r="D168" i="2"/>
  <c r="L168" i="2" s="1"/>
  <c r="R168" i="2" s="1"/>
  <c r="C168" i="2"/>
  <c r="Q167" i="2"/>
  <c r="P167" i="2"/>
  <c r="O167" i="2"/>
  <c r="M167" i="2"/>
  <c r="L167" i="2"/>
  <c r="I167" i="2"/>
  <c r="H167" i="2"/>
  <c r="F167" i="2"/>
  <c r="D167" i="2"/>
  <c r="C167" i="2"/>
  <c r="Q166" i="2"/>
  <c r="P166" i="2"/>
  <c r="O166" i="2"/>
  <c r="M166" i="2"/>
  <c r="I166" i="2"/>
  <c r="H166" i="2"/>
  <c r="F166" i="2"/>
  <c r="D166" i="2"/>
  <c r="C166" i="2"/>
  <c r="R165" i="2"/>
  <c r="Q165" i="2"/>
  <c r="P165" i="2"/>
  <c r="O165" i="2"/>
  <c r="M165" i="2"/>
  <c r="L165" i="2"/>
  <c r="I165" i="2"/>
  <c r="H165" i="2"/>
  <c r="F165" i="2"/>
  <c r="D165" i="2"/>
  <c r="C165" i="2"/>
  <c r="Q164" i="2"/>
  <c r="P164" i="2"/>
  <c r="O164" i="2"/>
  <c r="M164" i="2"/>
  <c r="L164" i="2"/>
  <c r="I164" i="2"/>
  <c r="H164" i="2"/>
  <c r="F164" i="2"/>
  <c r="D164" i="2"/>
  <c r="C164" i="2"/>
  <c r="Q163" i="2"/>
  <c r="P163" i="2"/>
  <c r="O163" i="2"/>
  <c r="M163" i="2"/>
  <c r="I163" i="2"/>
  <c r="H163" i="2"/>
  <c r="F163" i="2"/>
  <c r="D163" i="2"/>
  <c r="C163" i="2"/>
  <c r="Q162" i="2"/>
  <c r="P162" i="2"/>
  <c r="O162" i="2"/>
  <c r="M162" i="2"/>
  <c r="I162" i="2"/>
  <c r="H162" i="2"/>
  <c r="F162" i="2"/>
  <c r="D162" i="2"/>
  <c r="C162" i="2"/>
  <c r="Q161" i="2"/>
  <c r="P161" i="2"/>
  <c r="O161" i="2"/>
  <c r="M161" i="2"/>
  <c r="I161" i="2"/>
  <c r="L161" i="2" s="1"/>
  <c r="R161" i="2" s="1"/>
  <c r="H161" i="2"/>
  <c r="F161" i="2"/>
  <c r="D161" i="2"/>
  <c r="C161" i="2"/>
  <c r="Q160" i="2"/>
  <c r="P160" i="2"/>
  <c r="O160" i="2"/>
  <c r="M160" i="2"/>
  <c r="I160" i="2"/>
  <c r="H160" i="2"/>
  <c r="F160" i="2"/>
  <c r="D160" i="2"/>
  <c r="L160" i="2" s="1"/>
  <c r="R160" i="2" s="1"/>
  <c r="C160" i="2"/>
  <c r="Q159" i="2"/>
  <c r="P159" i="2"/>
  <c r="O159" i="2"/>
  <c r="M159" i="2"/>
  <c r="L159" i="2"/>
  <c r="I159" i="2"/>
  <c r="H159" i="2"/>
  <c r="F159" i="2"/>
  <c r="D159" i="2"/>
  <c r="C159" i="2"/>
  <c r="Q158" i="2"/>
  <c r="P158" i="2"/>
  <c r="O158" i="2"/>
  <c r="M158" i="2"/>
  <c r="I158" i="2"/>
  <c r="H158" i="2"/>
  <c r="F158" i="2"/>
  <c r="D158" i="2"/>
  <c r="C158" i="2"/>
  <c r="R157" i="2"/>
  <c r="Q157" i="2"/>
  <c r="P157" i="2"/>
  <c r="O157" i="2"/>
  <c r="M157" i="2"/>
  <c r="L157" i="2"/>
  <c r="I157" i="2"/>
  <c r="H157" i="2"/>
  <c r="F157" i="2"/>
  <c r="D157" i="2"/>
  <c r="C157" i="2"/>
  <c r="Q156" i="2"/>
  <c r="P156" i="2"/>
  <c r="O156" i="2"/>
  <c r="M156" i="2"/>
  <c r="L156" i="2"/>
  <c r="I156" i="2"/>
  <c r="H156" i="2"/>
  <c r="F156" i="2"/>
  <c r="D156" i="2"/>
  <c r="C156" i="2"/>
  <c r="Q155" i="2"/>
  <c r="P155" i="2"/>
  <c r="O155" i="2"/>
  <c r="M155" i="2"/>
  <c r="I155" i="2"/>
  <c r="H155" i="2"/>
  <c r="F155" i="2"/>
  <c r="D155" i="2"/>
  <c r="C155" i="2"/>
  <c r="Q154" i="2"/>
  <c r="P154" i="2"/>
  <c r="O154" i="2"/>
  <c r="M154" i="2"/>
  <c r="I154" i="2"/>
  <c r="H154" i="2"/>
  <c r="F154" i="2"/>
  <c r="D154" i="2"/>
  <c r="C154" i="2"/>
  <c r="Q153" i="2"/>
  <c r="P153" i="2"/>
  <c r="O153" i="2"/>
  <c r="M153" i="2"/>
  <c r="I153" i="2"/>
  <c r="L153" i="2" s="1"/>
  <c r="R153" i="2" s="1"/>
  <c r="H153" i="2"/>
  <c r="F153" i="2"/>
  <c r="D153" i="2"/>
  <c r="C153" i="2"/>
  <c r="Q152" i="2"/>
  <c r="P152" i="2"/>
  <c r="O152" i="2"/>
  <c r="M152" i="2"/>
  <c r="I152" i="2"/>
  <c r="H152" i="2"/>
  <c r="F152" i="2"/>
  <c r="D152" i="2"/>
  <c r="L152" i="2" s="1"/>
  <c r="R152" i="2" s="1"/>
  <c r="C152" i="2"/>
  <c r="Q151" i="2"/>
  <c r="P151" i="2"/>
  <c r="O151" i="2"/>
  <c r="M151" i="2"/>
  <c r="L151" i="2"/>
  <c r="I151" i="2"/>
  <c r="H151" i="2"/>
  <c r="F151" i="2"/>
  <c r="D151" i="2"/>
  <c r="C151" i="2"/>
  <c r="Q150" i="2"/>
  <c r="P150" i="2"/>
  <c r="O150" i="2"/>
  <c r="M150" i="2"/>
  <c r="I150" i="2"/>
  <c r="H150" i="2"/>
  <c r="F150" i="2"/>
  <c r="D150" i="2"/>
  <c r="C150" i="2"/>
  <c r="R149" i="2"/>
  <c r="Q149" i="2"/>
  <c r="P149" i="2"/>
  <c r="O149" i="2"/>
  <c r="M149" i="2"/>
  <c r="L149" i="2"/>
  <c r="I149" i="2"/>
  <c r="H149" i="2"/>
  <c r="F149" i="2"/>
  <c r="D149" i="2"/>
  <c r="C149" i="2"/>
  <c r="Q148" i="2"/>
  <c r="P148" i="2"/>
  <c r="O148" i="2"/>
  <c r="M148" i="2"/>
  <c r="L148" i="2"/>
  <c r="I148" i="2"/>
  <c r="H148" i="2"/>
  <c r="F148" i="2"/>
  <c r="D148" i="2"/>
  <c r="C148" i="2"/>
  <c r="Q147" i="2"/>
  <c r="P147" i="2"/>
  <c r="O147" i="2"/>
  <c r="M147" i="2"/>
  <c r="I147" i="2"/>
  <c r="H147" i="2"/>
  <c r="F147" i="2"/>
  <c r="D147" i="2"/>
  <c r="C147" i="2"/>
  <c r="Q146" i="2"/>
  <c r="P146" i="2"/>
  <c r="O146" i="2"/>
  <c r="M146" i="2"/>
  <c r="I146" i="2"/>
  <c r="H146" i="2"/>
  <c r="F146" i="2"/>
  <c r="D146" i="2"/>
  <c r="C146" i="2"/>
  <c r="Q145" i="2"/>
  <c r="P145" i="2"/>
  <c r="O145" i="2"/>
  <c r="M145" i="2"/>
  <c r="I145" i="2"/>
  <c r="L145" i="2" s="1"/>
  <c r="R145" i="2" s="1"/>
  <c r="H145" i="2"/>
  <c r="F145" i="2"/>
  <c r="D145" i="2"/>
  <c r="C145" i="2"/>
  <c r="Q144" i="2"/>
  <c r="P144" i="2"/>
  <c r="O144" i="2"/>
  <c r="M144" i="2"/>
  <c r="I144" i="2"/>
  <c r="H144" i="2"/>
  <c r="F144" i="2"/>
  <c r="D144" i="2"/>
  <c r="L144" i="2" s="1"/>
  <c r="R144" i="2" s="1"/>
  <c r="C144" i="2"/>
  <c r="Q143" i="2"/>
  <c r="P143" i="2"/>
  <c r="O143" i="2"/>
  <c r="M143" i="2"/>
  <c r="L143" i="2"/>
  <c r="I143" i="2"/>
  <c r="H143" i="2"/>
  <c r="F143" i="2"/>
  <c r="D143" i="2"/>
  <c r="C143" i="2"/>
  <c r="Q142" i="2"/>
  <c r="P142" i="2"/>
  <c r="O142" i="2"/>
  <c r="M142" i="2"/>
  <c r="I142" i="2"/>
  <c r="H142" i="2"/>
  <c r="F142" i="2"/>
  <c r="D142" i="2"/>
  <c r="C142" i="2"/>
  <c r="R141" i="2"/>
  <c r="Q141" i="2"/>
  <c r="P141" i="2"/>
  <c r="O141" i="2"/>
  <c r="M141" i="2"/>
  <c r="L141" i="2"/>
  <c r="I141" i="2"/>
  <c r="H141" i="2"/>
  <c r="F141" i="2"/>
  <c r="D141" i="2"/>
  <c r="C141" i="2"/>
  <c r="Q140" i="2"/>
  <c r="P140" i="2"/>
  <c r="O140" i="2"/>
  <c r="M140" i="2"/>
  <c r="L140" i="2"/>
  <c r="I140" i="2"/>
  <c r="H140" i="2"/>
  <c r="F140" i="2"/>
  <c r="D140" i="2"/>
  <c r="C140" i="2"/>
  <c r="Q139" i="2"/>
  <c r="P139" i="2"/>
  <c r="O139" i="2"/>
  <c r="M139" i="2"/>
  <c r="I139" i="2"/>
  <c r="H139" i="2"/>
  <c r="F139" i="2"/>
  <c r="D139" i="2"/>
  <c r="C139" i="2"/>
  <c r="Q138" i="2"/>
  <c r="P138" i="2"/>
  <c r="O138" i="2"/>
  <c r="M138" i="2"/>
  <c r="I138" i="2"/>
  <c r="H138" i="2"/>
  <c r="F138" i="2"/>
  <c r="D138" i="2"/>
  <c r="C138" i="2"/>
  <c r="Q137" i="2"/>
  <c r="P137" i="2"/>
  <c r="O137" i="2"/>
  <c r="M137" i="2"/>
  <c r="I137" i="2"/>
  <c r="L137" i="2" s="1"/>
  <c r="R137" i="2" s="1"/>
  <c r="H137" i="2"/>
  <c r="F137" i="2"/>
  <c r="D137" i="2"/>
  <c r="C137" i="2"/>
  <c r="Q136" i="2"/>
  <c r="P136" i="2"/>
  <c r="O136" i="2"/>
  <c r="M136" i="2"/>
  <c r="I136" i="2"/>
  <c r="H136" i="2"/>
  <c r="F136" i="2"/>
  <c r="D136" i="2"/>
  <c r="L136" i="2" s="1"/>
  <c r="R136" i="2" s="1"/>
  <c r="C136" i="2"/>
  <c r="Q135" i="2"/>
  <c r="P135" i="2"/>
  <c r="O135" i="2"/>
  <c r="M135" i="2"/>
  <c r="L135" i="2"/>
  <c r="I135" i="2"/>
  <c r="H135" i="2"/>
  <c r="F135" i="2"/>
  <c r="D135" i="2"/>
  <c r="C135" i="2"/>
  <c r="Q134" i="2"/>
  <c r="P134" i="2"/>
  <c r="O134" i="2"/>
  <c r="M134" i="2"/>
  <c r="I134" i="2"/>
  <c r="H134" i="2"/>
  <c r="F134" i="2"/>
  <c r="D134" i="2"/>
  <c r="C134" i="2"/>
  <c r="R133" i="2"/>
  <c r="Q133" i="2"/>
  <c r="P133" i="2"/>
  <c r="O133" i="2"/>
  <c r="M133" i="2"/>
  <c r="L133" i="2"/>
  <c r="I133" i="2"/>
  <c r="H133" i="2"/>
  <c r="F133" i="2"/>
  <c r="D133" i="2"/>
  <c r="C133" i="2"/>
  <c r="Q132" i="2"/>
  <c r="P132" i="2"/>
  <c r="O132" i="2"/>
  <c r="M132" i="2"/>
  <c r="L132" i="2"/>
  <c r="I132" i="2"/>
  <c r="H132" i="2"/>
  <c r="F132" i="2"/>
  <c r="D132" i="2"/>
  <c r="C132" i="2"/>
  <c r="Q131" i="2"/>
  <c r="P131" i="2"/>
  <c r="O131" i="2"/>
  <c r="M131" i="2"/>
  <c r="I131" i="2"/>
  <c r="H131" i="2"/>
  <c r="F131" i="2"/>
  <c r="D131" i="2"/>
  <c r="C131" i="2"/>
  <c r="Q130" i="2"/>
  <c r="P130" i="2"/>
  <c r="O130" i="2"/>
  <c r="M130" i="2"/>
  <c r="I130" i="2"/>
  <c r="H130" i="2"/>
  <c r="F130" i="2"/>
  <c r="D130" i="2"/>
  <c r="C130" i="2"/>
  <c r="Q129" i="2"/>
  <c r="P129" i="2"/>
  <c r="O129" i="2"/>
  <c r="M129" i="2"/>
  <c r="I129" i="2"/>
  <c r="L129" i="2" s="1"/>
  <c r="R129" i="2" s="1"/>
  <c r="H129" i="2"/>
  <c r="F129" i="2"/>
  <c r="D129" i="2"/>
  <c r="C129" i="2"/>
  <c r="Q128" i="2"/>
  <c r="P128" i="2"/>
  <c r="O128" i="2"/>
  <c r="M128" i="2"/>
  <c r="I128" i="2"/>
  <c r="H128" i="2"/>
  <c r="F128" i="2"/>
  <c r="D128" i="2"/>
  <c r="L128" i="2" s="1"/>
  <c r="R128" i="2" s="1"/>
  <c r="C128" i="2"/>
  <c r="Q127" i="2"/>
  <c r="P127" i="2"/>
  <c r="O127" i="2"/>
  <c r="M127" i="2"/>
  <c r="L127" i="2"/>
  <c r="I127" i="2"/>
  <c r="H127" i="2"/>
  <c r="F127" i="2"/>
  <c r="D127" i="2"/>
  <c r="C127" i="2"/>
  <c r="Q126" i="2"/>
  <c r="P126" i="2"/>
  <c r="O126" i="2"/>
  <c r="M126" i="2"/>
  <c r="I126" i="2"/>
  <c r="H126" i="2"/>
  <c r="F126" i="2"/>
  <c r="D126" i="2"/>
  <c r="C126" i="2"/>
  <c r="R125" i="2"/>
  <c r="Q125" i="2"/>
  <c r="P125" i="2"/>
  <c r="O125" i="2"/>
  <c r="M125" i="2"/>
  <c r="L125" i="2"/>
  <c r="I125" i="2"/>
  <c r="H125" i="2"/>
  <c r="F125" i="2"/>
  <c r="D125" i="2"/>
  <c r="C125" i="2"/>
  <c r="Q124" i="2"/>
  <c r="P124" i="2"/>
  <c r="O124" i="2"/>
  <c r="M124" i="2"/>
  <c r="L124" i="2"/>
  <c r="I124" i="2"/>
  <c r="H124" i="2"/>
  <c r="F124" i="2"/>
  <c r="D124" i="2"/>
  <c r="C124" i="2"/>
  <c r="Q123" i="2"/>
  <c r="P123" i="2"/>
  <c r="O123" i="2"/>
  <c r="M123" i="2"/>
  <c r="I123" i="2"/>
  <c r="H123" i="2"/>
  <c r="F123" i="2"/>
  <c r="D123" i="2"/>
  <c r="C123" i="2"/>
  <c r="Q122" i="2"/>
  <c r="P122" i="2"/>
  <c r="O122" i="2"/>
  <c r="M122" i="2"/>
  <c r="I122" i="2"/>
  <c r="H122" i="2"/>
  <c r="F122" i="2"/>
  <c r="D122" i="2"/>
  <c r="C122" i="2"/>
  <c r="Q121" i="2"/>
  <c r="P121" i="2"/>
  <c r="O121" i="2"/>
  <c r="M121" i="2"/>
  <c r="I121" i="2"/>
  <c r="L121" i="2" s="1"/>
  <c r="R121" i="2" s="1"/>
  <c r="H121" i="2"/>
  <c r="F121" i="2"/>
  <c r="D121" i="2"/>
  <c r="C121" i="2"/>
  <c r="Q120" i="2"/>
  <c r="P120" i="2"/>
  <c r="O120" i="2"/>
  <c r="M120" i="2"/>
  <c r="I120" i="2"/>
  <c r="H120" i="2"/>
  <c r="F120" i="2"/>
  <c r="D120" i="2"/>
  <c r="L120" i="2" s="1"/>
  <c r="R120" i="2" s="1"/>
  <c r="C120" i="2"/>
  <c r="Q119" i="2"/>
  <c r="P119" i="2"/>
  <c r="O119" i="2"/>
  <c r="M119" i="2"/>
  <c r="L119" i="2"/>
  <c r="I119" i="2"/>
  <c r="H119" i="2"/>
  <c r="F119" i="2"/>
  <c r="D119" i="2"/>
  <c r="C119" i="2"/>
  <c r="Q118" i="2"/>
  <c r="P118" i="2"/>
  <c r="O118" i="2"/>
  <c r="M118" i="2"/>
  <c r="I118" i="2"/>
  <c r="H118" i="2"/>
  <c r="F118" i="2"/>
  <c r="D118" i="2"/>
  <c r="C118" i="2"/>
  <c r="R117" i="2"/>
  <c r="Q117" i="2"/>
  <c r="P117" i="2"/>
  <c r="O117" i="2"/>
  <c r="M117" i="2"/>
  <c r="L117" i="2"/>
  <c r="I117" i="2"/>
  <c r="H117" i="2"/>
  <c r="F117" i="2"/>
  <c r="D117" i="2"/>
  <c r="C117" i="2"/>
  <c r="Q116" i="2"/>
  <c r="P116" i="2"/>
  <c r="O116" i="2"/>
  <c r="M116" i="2"/>
  <c r="L116" i="2"/>
  <c r="I116" i="2"/>
  <c r="H116" i="2"/>
  <c r="F116" i="2"/>
  <c r="D116" i="2"/>
  <c r="C116" i="2"/>
  <c r="Q115" i="2"/>
  <c r="P115" i="2"/>
  <c r="O115" i="2"/>
  <c r="M115" i="2"/>
  <c r="I115" i="2"/>
  <c r="H115" i="2"/>
  <c r="F115" i="2"/>
  <c r="D115" i="2"/>
  <c r="C115" i="2"/>
  <c r="Q114" i="2"/>
  <c r="P114" i="2"/>
  <c r="O114" i="2"/>
  <c r="M114" i="2"/>
  <c r="I114" i="2"/>
  <c r="H114" i="2"/>
  <c r="F114" i="2"/>
  <c r="D114" i="2"/>
  <c r="C114" i="2"/>
  <c r="Q113" i="2"/>
  <c r="P113" i="2"/>
  <c r="O113" i="2"/>
  <c r="M113" i="2"/>
  <c r="I113" i="2"/>
  <c r="L113" i="2" s="1"/>
  <c r="R113" i="2" s="1"/>
  <c r="H113" i="2"/>
  <c r="F113" i="2"/>
  <c r="D113" i="2"/>
  <c r="C113" i="2"/>
  <c r="Q112" i="2"/>
  <c r="P112" i="2"/>
  <c r="O112" i="2"/>
  <c r="M112" i="2"/>
  <c r="I112" i="2"/>
  <c r="H112" i="2"/>
  <c r="F112" i="2"/>
  <c r="D112" i="2"/>
  <c r="L112" i="2" s="1"/>
  <c r="R112" i="2" s="1"/>
  <c r="C112" i="2"/>
  <c r="Q111" i="2"/>
  <c r="P111" i="2"/>
  <c r="O111" i="2"/>
  <c r="M111" i="2"/>
  <c r="L111" i="2"/>
  <c r="I111" i="2"/>
  <c r="H111" i="2"/>
  <c r="F111" i="2"/>
  <c r="D111" i="2"/>
  <c r="C111" i="2"/>
  <c r="Q110" i="2"/>
  <c r="P110" i="2"/>
  <c r="O110" i="2"/>
  <c r="M110" i="2"/>
  <c r="I110" i="2"/>
  <c r="H110" i="2"/>
  <c r="F110" i="2"/>
  <c r="D110" i="2"/>
  <c r="C110" i="2"/>
  <c r="R109" i="2"/>
  <c r="Q109" i="2"/>
  <c r="P109" i="2"/>
  <c r="O109" i="2"/>
  <c r="M109" i="2"/>
  <c r="L109" i="2"/>
  <c r="I109" i="2"/>
  <c r="H109" i="2"/>
  <c r="F109" i="2"/>
  <c r="D109" i="2"/>
  <c r="C109" i="2"/>
  <c r="Q108" i="2"/>
  <c r="P108" i="2"/>
  <c r="O108" i="2"/>
  <c r="M108" i="2"/>
  <c r="L108" i="2"/>
  <c r="I108" i="2"/>
  <c r="H108" i="2"/>
  <c r="F108" i="2"/>
  <c r="D108" i="2"/>
  <c r="C108" i="2"/>
  <c r="Q107" i="2"/>
  <c r="P107" i="2"/>
  <c r="O107" i="2"/>
  <c r="M107" i="2"/>
  <c r="I107" i="2"/>
  <c r="H107" i="2"/>
  <c r="F107" i="2"/>
  <c r="D107" i="2"/>
  <c r="C107" i="2"/>
  <c r="Q106" i="2"/>
  <c r="P106" i="2"/>
  <c r="O106" i="2"/>
  <c r="M106" i="2"/>
  <c r="I106" i="2"/>
  <c r="H106" i="2"/>
  <c r="F106" i="2"/>
  <c r="D106" i="2"/>
  <c r="C106" i="2"/>
  <c r="Q105" i="2"/>
  <c r="P105" i="2"/>
  <c r="O105" i="2"/>
  <c r="M105" i="2"/>
  <c r="I105" i="2"/>
  <c r="L105" i="2" s="1"/>
  <c r="R105" i="2" s="1"/>
  <c r="H105" i="2"/>
  <c r="F105" i="2"/>
  <c r="D105" i="2"/>
  <c r="C105" i="2"/>
  <c r="Q104" i="2"/>
  <c r="P104" i="2"/>
  <c r="O104" i="2"/>
  <c r="M104" i="2"/>
  <c r="I104" i="2"/>
  <c r="H104" i="2"/>
  <c r="F104" i="2"/>
  <c r="D104" i="2"/>
  <c r="L104" i="2" s="1"/>
  <c r="R104" i="2" s="1"/>
  <c r="C104" i="2"/>
  <c r="Q103" i="2"/>
  <c r="P103" i="2"/>
  <c r="O103" i="2"/>
  <c r="M103" i="2"/>
  <c r="L103" i="2"/>
  <c r="I103" i="2"/>
  <c r="H103" i="2"/>
  <c r="F103" i="2"/>
  <c r="D103" i="2"/>
  <c r="C103" i="2"/>
  <c r="Q102" i="2"/>
  <c r="P102" i="2"/>
  <c r="O102" i="2"/>
  <c r="M102" i="2"/>
  <c r="I102" i="2"/>
  <c r="H102" i="2"/>
  <c r="F102" i="2"/>
  <c r="D102" i="2"/>
  <c r="C102" i="2"/>
  <c r="R101" i="2"/>
  <c r="Q101" i="2"/>
  <c r="P101" i="2"/>
  <c r="O101" i="2"/>
  <c r="M101" i="2"/>
  <c r="L101" i="2"/>
  <c r="I101" i="2"/>
  <c r="H101" i="2"/>
  <c r="F101" i="2"/>
  <c r="D101" i="2"/>
  <c r="C101" i="2"/>
  <c r="Q100" i="2"/>
  <c r="P100" i="2"/>
  <c r="O100" i="2"/>
  <c r="M100" i="2"/>
  <c r="L100" i="2"/>
  <c r="I100" i="2"/>
  <c r="H100" i="2"/>
  <c r="F100" i="2"/>
  <c r="D100" i="2"/>
  <c r="C100" i="2"/>
  <c r="Q99" i="2"/>
  <c r="P99" i="2"/>
  <c r="O99" i="2"/>
  <c r="M99" i="2"/>
  <c r="I99" i="2"/>
  <c r="H99" i="2"/>
  <c r="F99" i="2"/>
  <c r="D99" i="2"/>
  <c r="C99" i="2"/>
  <c r="Q98" i="2"/>
  <c r="P98" i="2"/>
  <c r="O98" i="2"/>
  <c r="M98" i="2"/>
  <c r="I98" i="2"/>
  <c r="H98" i="2"/>
  <c r="F98" i="2"/>
  <c r="D98" i="2"/>
  <c r="C98" i="2"/>
  <c r="Q97" i="2"/>
  <c r="P97" i="2"/>
  <c r="O97" i="2"/>
  <c r="M97" i="2"/>
  <c r="I97" i="2"/>
  <c r="H97" i="2"/>
  <c r="F97" i="2"/>
  <c r="D97" i="2"/>
  <c r="C97" i="2"/>
  <c r="Q96" i="2"/>
  <c r="P96" i="2"/>
  <c r="O96" i="2"/>
  <c r="M96" i="2"/>
  <c r="L96" i="2"/>
  <c r="R96" i="2" s="1"/>
  <c r="I96" i="2"/>
  <c r="H96" i="2"/>
  <c r="F96" i="2"/>
  <c r="D96" i="2"/>
  <c r="C96" i="2"/>
  <c r="Q95" i="2"/>
  <c r="P95" i="2"/>
  <c r="O95" i="2"/>
  <c r="M95" i="2"/>
  <c r="I95" i="2"/>
  <c r="H95" i="2"/>
  <c r="F95" i="2"/>
  <c r="D95" i="2"/>
  <c r="C95" i="2"/>
  <c r="Q94" i="2"/>
  <c r="P94" i="2"/>
  <c r="O94" i="2"/>
  <c r="M94" i="2"/>
  <c r="N94" i="2" s="1"/>
  <c r="I94" i="2"/>
  <c r="L94" i="2" s="1"/>
  <c r="H94" i="2"/>
  <c r="F94" i="2"/>
  <c r="D94" i="2"/>
  <c r="C94" i="2"/>
  <c r="Q93" i="2"/>
  <c r="P93" i="2"/>
  <c r="O93" i="2"/>
  <c r="M93" i="2"/>
  <c r="L93" i="2"/>
  <c r="R93" i="2" s="1"/>
  <c r="I93" i="2"/>
  <c r="H93" i="2"/>
  <c r="F93" i="2"/>
  <c r="D93" i="2"/>
  <c r="C93" i="2"/>
  <c r="Q92" i="2"/>
  <c r="P92" i="2"/>
  <c r="O92" i="2"/>
  <c r="M92" i="2"/>
  <c r="I92" i="2"/>
  <c r="H92" i="2"/>
  <c r="F92" i="2"/>
  <c r="D92" i="2"/>
  <c r="L92" i="2" s="1"/>
  <c r="C92" i="2"/>
  <c r="Q91" i="2"/>
  <c r="P91" i="2"/>
  <c r="O91" i="2"/>
  <c r="M91" i="2"/>
  <c r="I91" i="2"/>
  <c r="H91" i="2"/>
  <c r="F91" i="2"/>
  <c r="D91" i="2"/>
  <c r="C91" i="2"/>
  <c r="Q90" i="2"/>
  <c r="P90" i="2"/>
  <c r="O90" i="2"/>
  <c r="M90" i="2"/>
  <c r="I90" i="2"/>
  <c r="H90" i="2"/>
  <c r="F90" i="2"/>
  <c r="D90" i="2"/>
  <c r="C90" i="2"/>
  <c r="Q89" i="2"/>
  <c r="P89" i="2"/>
  <c r="O89" i="2"/>
  <c r="M89" i="2"/>
  <c r="I89" i="2"/>
  <c r="H89" i="2"/>
  <c r="F89" i="2"/>
  <c r="D89" i="2"/>
  <c r="C89" i="2"/>
  <c r="Q88" i="2"/>
  <c r="P88" i="2"/>
  <c r="O88" i="2"/>
  <c r="M88" i="2"/>
  <c r="L88" i="2"/>
  <c r="R88" i="2" s="1"/>
  <c r="I88" i="2"/>
  <c r="H88" i="2"/>
  <c r="F88" i="2"/>
  <c r="D88" i="2"/>
  <c r="C88" i="2"/>
  <c r="Q87" i="2"/>
  <c r="P87" i="2"/>
  <c r="O87" i="2"/>
  <c r="M87" i="2"/>
  <c r="I87" i="2"/>
  <c r="H87" i="2"/>
  <c r="F87" i="2"/>
  <c r="D87" i="2"/>
  <c r="C87" i="2"/>
  <c r="Q86" i="2"/>
  <c r="P86" i="2"/>
  <c r="O86" i="2"/>
  <c r="M86" i="2"/>
  <c r="N86" i="2" s="1"/>
  <c r="I86" i="2"/>
  <c r="L86" i="2" s="1"/>
  <c r="H86" i="2"/>
  <c r="F86" i="2"/>
  <c r="D86" i="2"/>
  <c r="C86" i="2"/>
  <c r="Q85" i="2"/>
  <c r="P85" i="2"/>
  <c r="O85" i="2"/>
  <c r="M85" i="2"/>
  <c r="N85" i="2" s="1"/>
  <c r="L85" i="2"/>
  <c r="R85" i="2" s="1"/>
  <c r="I85" i="2"/>
  <c r="H85" i="2"/>
  <c r="F85" i="2"/>
  <c r="D85" i="2"/>
  <c r="C85" i="2"/>
  <c r="Q84" i="2"/>
  <c r="P84" i="2"/>
  <c r="O84" i="2"/>
  <c r="M84" i="2"/>
  <c r="I84" i="2"/>
  <c r="H84" i="2"/>
  <c r="F84" i="2"/>
  <c r="D84" i="2"/>
  <c r="C84" i="2"/>
  <c r="Q83" i="2"/>
  <c r="P83" i="2"/>
  <c r="O83" i="2"/>
  <c r="M83" i="2"/>
  <c r="I83" i="2"/>
  <c r="H83" i="2"/>
  <c r="F83" i="2"/>
  <c r="D83" i="2"/>
  <c r="C83" i="2"/>
  <c r="Q82" i="2"/>
  <c r="P82" i="2"/>
  <c r="O82" i="2"/>
  <c r="M82" i="2"/>
  <c r="I82" i="2"/>
  <c r="H82" i="2"/>
  <c r="F82" i="2"/>
  <c r="D82" i="2"/>
  <c r="C82" i="2"/>
  <c r="Q81" i="2"/>
  <c r="P81" i="2"/>
  <c r="O81" i="2"/>
  <c r="M81" i="2"/>
  <c r="N81" i="2" s="1"/>
  <c r="I81" i="2"/>
  <c r="L81" i="2" s="1"/>
  <c r="R81" i="2" s="1"/>
  <c r="H81" i="2"/>
  <c r="F81" i="2"/>
  <c r="D81" i="2"/>
  <c r="C81" i="2"/>
  <c r="Q80" i="2"/>
  <c r="P80" i="2"/>
  <c r="O80" i="2"/>
  <c r="M80" i="2"/>
  <c r="I80" i="2"/>
  <c r="H80" i="2"/>
  <c r="F80" i="2"/>
  <c r="D80" i="2"/>
  <c r="L80" i="2" s="1"/>
  <c r="R80" i="2" s="1"/>
  <c r="C80" i="2"/>
  <c r="Q79" i="2"/>
  <c r="P79" i="2"/>
  <c r="O79" i="2"/>
  <c r="M79" i="2"/>
  <c r="L79" i="2"/>
  <c r="I79" i="2"/>
  <c r="H79" i="2"/>
  <c r="F79" i="2"/>
  <c r="D79" i="2"/>
  <c r="C79" i="2"/>
  <c r="Q78" i="2"/>
  <c r="P78" i="2"/>
  <c r="O78" i="2"/>
  <c r="M78" i="2"/>
  <c r="N78" i="2" s="1"/>
  <c r="I78" i="2"/>
  <c r="H78" i="2"/>
  <c r="F78" i="2"/>
  <c r="D78" i="2"/>
  <c r="C78" i="2"/>
  <c r="R77" i="2"/>
  <c r="Q77" i="2"/>
  <c r="P77" i="2"/>
  <c r="O77" i="2"/>
  <c r="M77" i="2"/>
  <c r="L77" i="2"/>
  <c r="I77" i="2"/>
  <c r="H77" i="2"/>
  <c r="F77" i="2"/>
  <c r="D77" i="2"/>
  <c r="C77" i="2"/>
  <c r="Q76" i="2"/>
  <c r="P76" i="2"/>
  <c r="O76" i="2"/>
  <c r="M76" i="2"/>
  <c r="N76" i="2" s="1"/>
  <c r="I76" i="2"/>
  <c r="H76" i="2"/>
  <c r="F76" i="2"/>
  <c r="D76" i="2"/>
  <c r="L76" i="2" s="1"/>
  <c r="C76" i="2"/>
  <c r="Q75" i="2"/>
  <c r="P75" i="2"/>
  <c r="O75" i="2"/>
  <c r="M75" i="2"/>
  <c r="I75" i="2"/>
  <c r="H75" i="2"/>
  <c r="F75" i="2"/>
  <c r="D75" i="2"/>
  <c r="C75" i="2"/>
  <c r="Q74" i="2"/>
  <c r="P74" i="2"/>
  <c r="O74" i="2"/>
  <c r="M74" i="2"/>
  <c r="L74" i="2"/>
  <c r="R74" i="2" s="1"/>
  <c r="I74" i="2"/>
  <c r="H74" i="2"/>
  <c r="F74" i="2"/>
  <c r="D74" i="2"/>
  <c r="C74" i="2"/>
  <c r="Q73" i="2"/>
  <c r="P73" i="2"/>
  <c r="O73" i="2"/>
  <c r="M73" i="2"/>
  <c r="I73" i="2"/>
  <c r="H73" i="2"/>
  <c r="F73" i="2"/>
  <c r="D73" i="2"/>
  <c r="C73" i="2"/>
  <c r="Q72" i="2"/>
  <c r="P72" i="2"/>
  <c r="O72" i="2"/>
  <c r="M72" i="2"/>
  <c r="I72" i="2"/>
  <c r="H72" i="2"/>
  <c r="F72" i="2"/>
  <c r="D72" i="2"/>
  <c r="L72" i="2" s="1"/>
  <c r="R72" i="2" s="1"/>
  <c r="C72" i="2"/>
  <c r="Q71" i="2"/>
  <c r="P71" i="2"/>
  <c r="O71" i="2"/>
  <c r="M71" i="2"/>
  <c r="I71" i="2"/>
  <c r="H71" i="2"/>
  <c r="F71" i="2"/>
  <c r="D71" i="2"/>
  <c r="C71" i="2"/>
  <c r="Q70" i="2"/>
  <c r="P70" i="2"/>
  <c r="O70" i="2"/>
  <c r="M70" i="2"/>
  <c r="N70" i="2" s="1"/>
  <c r="I70" i="2"/>
  <c r="H70" i="2"/>
  <c r="F70" i="2"/>
  <c r="D70" i="2"/>
  <c r="C70" i="2"/>
  <c r="Q69" i="2"/>
  <c r="P69" i="2"/>
  <c r="O69" i="2"/>
  <c r="M69" i="2"/>
  <c r="I69" i="2"/>
  <c r="H69" i="2"/>
  <c r="F69" i="2"/>
  <c r="D69" i="2"/>
  <c r="C69" i="2"/>
  <c r="Q68" i="2"/>
  <c r="P68" i="2"/>
  <c r="O68" i="2"/>
  <c r="M68" i="2"/>
  <c r="I68" i="2"/>
  <c r="L68" i="2" s="1"/>
  <c r="R68" i="2" s="1"/>
  <c r="H68" i="2"/>
  <c r="F68" i="2"/>
  <c r="D68" i="2"/>
  <c r="C68" i="2"/>
  <c r="Q67" i="2"/>
  <c r="P67" i="2"/>
  <c r="O67" i="2"/>
  <c r="M67" i="2"/>
  <c r="N67" i="2" s="1"/>
  <c r="I67" i="2"/>
  <c r="H67" i="2"/>
  <c r="F67" i="2"/>
  <c r="D67" i="2"/>
  <c r="L67" i="2" s="1"/>
  <c r="R67" i="2" s="1"/>
  <c r="C67" i="2"/>
  <c r="Q66" i="2"/>
  <c r="P66" i="2"/>
  <c r="O66" i="2"/>
  <c r="M66" i="2"/>
  <c r="N66" i="2" s="1"/>
  <c r="L66" i="2"/>
  <c r="I66" i="2"/>
  <c r="H66" i="2"/>
  <c r="F66" i="2"/>
  <c r="D66" i="2"/>
  <c r="C66" i="2"/>
  <c r="Q65" i="2"/>
  <c r="P65" i="2"/>
  <c r="O65" i="2"/>
  <c r="M65" i="2"/>
  <c r="I65" i="2"/>
  <c r="H65" i="2"/>
  <c r="F65" i="2"/>
  <c r="D65" i="2"/>
  <c r="C65" i="2"/>
  <c r="Q64" i="2"/>
  <c r="P64" i="2"/>
  <c r="O64" i="2"/>
  <c r="M64" i="2"/>
  <c r="N64" i="2" s="1"/>
  <c r="I64" i="2"/>
  <c r="L64" i="2" s="1"/>
  <c r="R64" i="2" s="1"/>
  <c r="H64" i="2"/>
  <c r="F64" i="2"/>
  <c r="D64" i="2"/>
  <c r="C64" i="2"/>
  <c r="Q63" i="2"/>
  <c r="P63" i="2"/>
  <c r="O63" i="2"/>
  <c r="M63" i="2"/>
  <c r="N63" i="2" s="1"/>
  <c r="L63" i="2"/>
  <c r="R63" i="2" s="1"/>
  <c r="I63" i="2"/>
  <c r="H63" i="2"/>
  <c r="F63" i="2"/>
  <c r="D63" i="2"/>
  <c r="C63" i="2"/>
  <c r="Q62" i="2"/>
  <c r="P62" i="2"/>
  <c r="O62" i="2"/>
  <c r="M62" i="2"/>
  <c r="N62" i="2" s="1"/>
  <c r="I62" i="2"/>
  <c r="H62" i="2"/>
  <c r="F62" i="2"/>
  <c r="D62" i="2"/>
  <c r="C62" i="2"/>
  <c r="Q61" i="2"/>
  <c r="P61" i="2"/>
  <c r="O61" i="2"/>
  <c r="M61" i="2"/>
  <c r="I61" i="2"/>
  <c r="H61" i="2"/>
  <c r="F61" i="2"/>
  <c r="D61" i="2"/>
  <c r="C61" i="2"/>
  <c r="Q60" i="2"/>
  <c r="P60" i="2"/>
  <c r="O60" i="2"/>
  <c r="M60" i="2"/>
  <c r="I60" i="2"/>
  <c r="L60" i="2" s="1"/>
  <c r="R60" i="2" s="1"/>
  <c r="H60" i="2"/>
  <c r="F60" i="2"/>
  <c r="D60" i="2"/>
  <c r="C60" i="2"/>
  <c r="Q59" i="2"/>
  <c r="P59" i="2"/>
  <c r="O59" i="2"/>
  <c r="M59" i="2"/>
  <c r="N59" i="2" s="1"/>
  <c r="L59" i="2"/>
  <c r="R59" i="2" s="1"/>
  <c r="I59" i="2"/>
  <c r="S59" i="2" s="1"/>
  <c r="H59" i="2"/>
  <c r="F59" i="2"/>
  <c r="D59" i="2"/>
  <c r="C59" i="2"/>
  <c r="Q58" i="2"/>
  <c r="P58" i="2"/>
  <c r="O58" i="2"/>
  <c r="M58" i="2"/>
  <c r="N58" i="2" s="1"/>
  <c r="L58" i="2"/>
  <c r="I58" i="2"/>
  <c r="H58" i="2"/>
  <c r="F58" i="2"/>
  <c r="D58" i="2"/>
  <c r="C58" i="2"/>
  <c r="Q57" i="2"/>
  <c r="P57" i="2"/>
  <c r="O57" i="2"/>
  <c r="M57" i="2"/>
  <c r="I57" i="2"/>
  <c r="H57" i="2"/>
  <c r="F57" i="2"/>
  <c r="D57" i="2"/>
  <c r="C57" i="2"/>
  <c r="Q56" i="2"/>
  <c r="P56" i="2"/>
  <c r="O56" i="2"/>
  <c r="M56" i="2"/>
  <c r="N56" i="2" s="1"/>
  <c r="I56" i="2"/>
  <c r="L56" i="2" s="1"/>
  <c r="R56" i="2" s="1"/>
  <c r="H56" i="2"/>
  <c r="F56" i="2"/>
  <c r="D56" i="2"/>
  <c r="C56" i="2"/>
  <c r="Q55" i="2"/>
  <c r="P55" i="2"/>
  <c r="O55" i="2"/>
  <c r="M55" i="2"/>
  <c r="N55" i="2" s="1"/>
  <c r="L55" i="2"/>
  <c r="R55" i="2" s="1"/>
  <c r="I55" i="2"/>
  <c r="H55" i="2"/>
  <c r="F55" i="2"/>
  <c r="D55" i="2"/>
  <c r="C55" i="2"/>
  <c r="Q54" i="2"/>
  <c r="P54" i="2"/>
  <c r="O54" i="2"/>
  <c r="M54" i="2"/>
  <c r="N54" i="2" s="1"/>
  <c r="I54" i="2"/>
  <c r="H54" i="2"/>
  <c r="F54" i="2"/>
  <c r="D54" i="2"/>
  <c r="C54" i="2"/>
  <c r="Q53" i="2"/>
  <c r="P53" i="2"/>
  <c r="O53" i="2"/>
  <c r="M53" i="2"/>
  <c r="I53" i="2"/>
  <c r="H53" i="2"/>
  <c r="F53" i="2"/>
  <c r="D53" i="2"/>
  <c r="C53" i="2"/>
  <c r="Q52" i="2"/>
  <c r="P52" i="2"/>
  <c r="O52" i="2"/>
  <c r="M52" i="2"/>
  <c r="I52" i="2"/>
  <c r="L52" i="2" s="1"/>
  <c r="R52" i="2" s="1"/>
  <c r="H52" i="2"/>
  <c r="F52" i="2"/>
  <c r="D52" i="2"/>
  <c r="C52" i="2"/>
  <c r="Q51" i="2"/>
  <c r="P51" i="2"/>
  <c r="O51" i="2"/>
  <c r="M51" i="2"/>
  <c r="N51" i="2" s="1"/>
  <c r="I51" i="2"/>
  <c r="H51" i="2"/>
  <c r="F51" i="2"/>
  <c r="D51" i="2"/>
  <c r="L51" i="2" s="1"/>
  <c r="R51" i="2" s="1"/>
  <c r="C51" i="2"/>
  <c r="Q50" i="2"/>
  <c r="P50" i="2"/>
  <c r="O50" i="2"/>
  <c r="M50" i="2"/>
  <c r="N50" i="2" s="1"/>
  <c r="L50" i="2"/>
  <c r="I50" i="2"/>
  <c r="S50" i="2" s="1"/>
  <c r="H50" i="2"/>
  <c r="F50" i="2"/>
  <c r="D50" i="2"/>
  <c r="C50" i="2"/>
  <c r="Q49" i="2"/>
  <c r="P49" i="2"/>
  <c r="O49" i="2"/>
  <c r="M49" i="2"/>
  <c r="I49" i="2"/>
  <c r="H49" i="2"/>
  <c r="F49" i="2"/>
  <c r="D49" i="2"/>
  <c r="C49" i="2"/>
  <c r="Q48" i="2"/>
  <c r="P48" i="2"/>
  <c r="O48" i="2"/>
  <c r="M48" i="2"/>
  <c r="N48" i="2" s="1"/>
  <c r="I48" i="2"/>
  <c r="L48" i="2" s="1"/>
  <c r="R48" i="2" s="1"/>
  <c r="H48" i="2"/>
  <c r="F48" i="2"/>
  <c r="D48" i="2"/>
  <c r="C48" i="2"/>
  <c r="Q47" i="2"/>
  <c r="P47" i="2"/>
  <c r="O47" i="2"/>
  <c r="M47" i="2"/>
  <c r="N47" i="2" s="1"/>
  <c r="L47" i="2"/>
  <c r="R47" i="2" s="1"/>
  <c r="I47" i="2"/>
  <c r="S47" i="2" s="1"/>
  <c r="H47" i="2"/>
  <c r="F47" i="2"/>
  <c r="D47" i="2"/>
  <c r="C47" i="2"/>
  <c r="Q46" i="2"/>
  <c r="P46" i="2"/>
  <c r="O46" i="2"/>
  <c r="M46" i="2"/>
  <c r="N46" i="2" s="1"/>
  <c r="I46" i="2"/>
  <c r="H46" i="2"/>
  <c r="F46" i="2"/>
  <c r="D46" i="2"/>
  <c r="C46" i="2"/>
  <c r="Q45" i="2"/>
  <c r="P45" i="2"/>
  <c r="O45" i="2"/>
  <c r="M45" i="2"/>
  <c r="I45" i="2"/>
  <c r="H45" i="2"/>
  <c r="F45" i="2"/>
  <c r="D45" i="2"/>
  <c r="C45" i="2"/>
  <c r="Q44" i="2"/>
  <c r="P44" i="2"/>
  <c r="O44" i="2"/>
  <c r="M44" i="2"/>
  <c r="I44" i="2"/>
  <c r="L44" i="2" s="1"/>
  <c r="R44" i="2" s="1"/>
  <c r="H44" i="2"/>
  <c r="F44" i="2"/>
  <c r="D44" i="2"/>
  <c r="C44" i="2"/>
  <c r="Q43" i="2"/>
  <c r="P43" i="2"/>
  <c r="O43" i="2"/>
  <c r="M43" i="2"/>
  <c r="N43" i="2" s="1"/>
  <c r="I43" i="2"/>
  <c r="S43" i="2" s="1"/>
  <c r="H43" i="2"/>
  <c r="F43" i="2"/>
  <c r="D43" i="2"/>
  <c r="L43" i="2" s="1"/>
  <c r="R43" i="2" s="1"/>
  <c r="C43" i="2"/>
  <c r="Q42" i="2"/>
  <c r="P42" i="2"/>
  <c r="O42" i="2"/>
  <c r="M42" i="2"/>
  <c r="N42" i="2" s="1"/>
  <c r="L42" i="2"/>
  <c r="I42" i="2"/>
  <c r="H42" i="2"/>
  <c r="F42" i="2"/>
  <c r="D42" i="2"/>
  <c r="C42" i="2"/>
  <c r="Q41" i="2"/>
  <c r="P41" i="2"/>
  <c r="O41" i="2"/>
  <c r="M41" i="2"/>
  <c r="I41" i="2"/>
  <c r="H41" i="2"/>
  <c r="F41" i="2"/>
  <c r="D41" i="2"/>
  <c r="C41" i="2"/>
  <c r="Q40" i="2"/>
  <c r="P40" i="2"/>
  <c r="O40" i="2"/>
  <c r="M40" i="2"/>
  <c r="N40" i="2" s="1"/>
  <c r="I40" i="2"/>
  <c r="L40" i="2" s="1"/>
  <c r="R40" i="2" s="1"/>
  <c r="H40" i="2"/>
  <c r="F40" i="2"/>
  <c r="D40" i="2"/>
  <c r="C40" i="2"/>
  <c r="Q39" i="2"/>
  <c r="P39" i="2"/>
  <c r="O39" i="2"/>
  <c r="M39" i="2"/>
  <c r="N39" i="2" s="1"/>
  <c r="L39" i="2"/>
  <c r="R39" i="2" s="1"/>
  <c r="I39" i="2"/>
  <c r="H39" i="2"/>
  <c r="F39" i="2"/>
  <c r="D39" i="2"/>
  <c r="C39" i="2"/>
  <c r="Q38" i="2"/>
  <c r="P38" i="2"/>
  <c r="O38" i="2"/>
  <c r="M38" i="2"/>
  <c r="N38" i="2" s="1"/>
  <c r="I38" i="2"/>
  <c r="H38" i="2"/>
  <c r="F38" i="2"/>
  <c r="D38" i="2"/>
  <c r="C38" i="2"/>
  <c r="Q37" i="2"/>
  <c r="P37" i="2"/>
  <c r="O37" i="2"/>
  <c r="M37" i="2"/>
  <c r="I37" i="2"/>
  <c r="H37" i="2"/>
  <c r="F37" i="2"/>
  <c r="D37" i="2"/>
  <c r="C37" i="2"/>
  <c r="Q36" i="2"/>
  <c r="P36" i="2"/>
  <c r="O36" i="2"/>
  <c r="M36" i="2"/>
  <c r="I36" i="2"/>
  <c r="L36" i="2" s="1"/>
  <c r="R36" i="2" s="1"/>
  <c r="H36" i="2"/>
  <c r="F36" i="2"/>
  <c r="D36" i="2"/>
  <c r="C36" i="2"/>
  <c r="Q35" i="2"/>
  <c r="P35" i="2"/>
  <c r="O35" i="2"/>
  <c r="M35" i="2"/>
  <c r="N35" i="2" s="1"/>
  <c r="I35" i="2"/>
  <c r="H35" i="2"/>
  <c r="F35" i="2"/>
  <c r="D35" i="2"/>
  <c r="L35" i="2" s="1"/>
  <c r="R35" i="2" s="1"/>
  <c r="C35" i="2"/>
  <c r="Q34" i="2"/>
  <c r="P34" i="2"/>
  <c r="O34" i="2"/>
  <c r="M34" i="2"/>
  <c r="N34" i="2" s="1"/>
  <c r="L34" i="2"/>
  <c r="I34" i="2"/>
  <c r="S34" i="2" s="1"/>
  <c r="H34" i="2"/>
  <c r="F34" i="2"/>
  <c r="D34" i="2"/>
  <c r="C34" i="2"/>
  <c r="Q33" i="2"/>
  <c r="P33" i="2"/>
  <c r="O33" i="2"/>
  <c r="M33" i="2"/>
  <c r="I33" i="2"/>
  <c r="H33" i="2"/>
  <c r="F33" i="2"/>
  <c r="D33" i="2"/>
  <c r="C33" i="2"/>
  <c r="Q32" i="2"/>
  <c r="P32" i="2"/>
  <c r="O32" i="2"/>
  <c r="M32" i="2"/>
  <c r="N32" i="2" s="1"/>
  <c r="I32" i="2"/>
  <c r="L32" i="2" s="1"/>
  <c r="R32" i="2" s="1"/>
  <c r="H32" i="2"/>
  <c r="F32" i="2"/>
  <c r="D32" i="2"/>
  <c r="C32" i="2"/>
  <c r="Q31" i="2"/>
  <c r="P31" i="2"/>
  <c r="O31" i="2"/>
  <c r="M31" i="2"/>
  <c r="N31" i="2" s="1"/>
  <c r="L31" i="2"/>
  <c r="R31" i="2" s="1"/>
  <c r="I31" i="2"/>
  <c r="S31" i="2" s="1"/>
  <c r="H31" i="2"/>
  <c r="F31" i="2"/>
  <c r="D31" i="2"/>
  <c r="C31" i="2"/>
  <c r="Q30" i="2"/>
  <c r="P30" i="2"/>
  <c r="O30" i="2"/>
  <c r="M30" i="2"/>
  <c r="N30" i="2" s="1"/>
  <c r="I30" i="2"/>
  <c r="H30" i="2"/>
  <c r="F30" i="2"/>
  <c r="D30" i="2"/>
  <c r="C30" i="2"/>
  <c r="Q29" i="2"/>
  <c r="P29" i="2"/>
  <c r="O29" i="2"/>
  <c r="M29" i="2"/>
  <c r="I29" i="2"/>
  <c r="H29" i="2"/>
  <c r="F29" i="2"/>
  <c r="D29" i="2"/>
  <c r="C29" i="2"/>
  <c r="Q28" i="2"/>
  <c r="P28" i="2"/>
  <c r="O28" i="2"/>
  <c r="M28" i="2"/>
  <c r="I28" i="2"/>
  <c r="L28" i="2" s="1"/>
  <c r="R28" i="2" s="1"/>
  <c r="H28" i="2"/>
  <c r="F28" i="2"/>
  <c r="D28" i="2"/>
  <c r="C28" i="2"/>
  <c r="Q27" i="2"/>
  <c r="P27" i="2"/>
  <c r="O27" i="2"/>
  <c r="M27" i="2"/>
  <c r="N27" i="2" s="1"/>
  <c r="I27" i="2"/>
  <c r="S27" i="2" s="1"/>
  <c r="H27" i="2"/>
  <c r="F27" i="2"/>
  <c r="D27" i="2"/>
  <c r="L27" i="2" s="1"/>
  <c r="R27" i="2" s="1"/>
  <c r="C27" i="2"/>
  <c r="Q26" i="2"/>
  <c r="P26" i="2"/>
  <c r="O26" i="2"/>
  <c r="M26" i="2"/>
  <c r="N26" i="2" s="1"/>
  <c r="L26" i="2"/>
  <c r="I26" i="2"/>
  <c r="H26" i="2"/>
  <c r="F26" i="2"/>
  <c r="D26" i="2"/>
  <c r="C26" i="2"/>
  <c r="Q25" i="2"/>
  <c r="P25" i="2"/>
  <c r="O25" i="2"/>
  <c r="M25" i="2"/>
  <c r="I25" i="2"/>
  <c r="H25" i="2"/>
  <c r="F25" i="2"/>
  <c r="D25" i="2"/>
  <c r="C25" i="2"/>
  <c r="Q24" i="2"/>
  <c r="P24" i="2"/>
  <c r="O24" i="2"/>
  <c r="M24" i="2"/>
  <c r="N24" i="2" s="1"/>
  <c r="I24" i="2"/>
  <c r="L24" i="2" s="1"/>
  <c r="R24" i="2" s="1"/>
  <c r="H24" i="2"/>
  <c r="F24" i="2"/>
  <c r="D24" i="2"/>
  <c r="C24" i="2"/>
  <c r="Q23" i="2"/>
  <c r="P23" i="2"/>
  <c r="O23" i="2"/>
  <c r="M23" i="2"/>
  <c r="N23" i="2" s="1"/>
  <c r="L23" i="2"/>
  <c r="R23" i="2" s="1"/>
  <c r="I23" i="2"/>
  <c r="H23" i="2"/>
  <c r="F23" i="2"/>
  <c r="D23" i="2"/>
  <c r="C23" i="2"/>
  <c r="Q22" i="2"/>
  <c r="P22" i="2"/>
  <c r="O22" i="2"/>
  <c r="M22" i="2"/>
  <c r="N22" i="2" s="1"/>
  <c r="I22" i="2"/>
  <c r="H22" i="2"/>
  <c r="F22" i="2"/>
  <c r="D22" i="2"/>
  <c r="C22" i="2"/>
  <c r="Q21" i="2"/>
  <c r="P21" i="2"/>
  <c r="O21" i="2"/>
  <c r="M21" i="2"/>
  <c r="I21" i="2"/>
  <c r="H21" i="2"/>
  <c r="F21" i="2"/>
  <c r="D21" i="2"/>
  <c r="C21" i="2"/>
  <c r="Q20" i="2"/>
  <c r="P20" i="2"/>
  <c r="O20" i="2"/>
  <c r="M20" i="2"/>
  <c r="I20" i="2"/>
  <c r="H20" i="2"/>
  <c r="F20" i="2"/>
  <c r="D20" i="2"/>
  <c r="C20" i="2"/>
  <c r="Q19" i="2"/>
  <c r="P19" i="2"/>
  <c r="O19" i="2"/>
  <c r="M19" i="2"/>
  <c r="N19" i="2" s="1"/>
  <c r="I19" i="2"/>
  <c r="H19" i="2"/>
  <c r="F19" i="2"/>
  <c r="D19" i="2"/>
  <c r="L19" i="2" s="1"/>
  <c r="R19" i="2" s="1"/>
  <c r="C19" i="2"/>
  <c r="Q18" i="2"/>
  <c r="P18" i="2"/>
  <c r="O18" i="2"/>
  <c r="M18" i="2"/>
  <c r="N18" i="2" s="1"/>
  <c r="L18" i="2"/>
  <c r="I18" i="2"/>
  <c r="S18" i="2" s="1"/>
  <c r="H18" i="2"/>
  <c r="F18" i="2"/>
  <c r="D18" i="2"/>
  <c r="C18" i="2"/>
  <c r="Q17" i="2"/>
  <c r="P17" i="2"/>
  <c r="O17" i="2"/>
  <c r="M17" i="2"/>
  <c r="I17" i="2"/>
  <c r="H17" i="2"/>
  <c r="F17" i="2"/>
  <c r="D17" i="2"/>
  <c r="C17" i="2"/>
  <c r="Q16" i="2"/>
  <c r="P16" i="2"/>
  <c r="O16" i="2"/>
  <c r="M16" i="2"/>
  <c r="N16" i="2" s="1"/>
  <c r="I16" i="2"/>
  <c r="L16" i="2" s="1"/>
  <c r="R16" i="2" s="1"/>
  <c r="H16" i="2"/>
  <c r="F16" i="2"/>
  <c r="D16" i="2"/>
  <c r="C16" i="2"/>
  <c r="Q15" i="2"/>
  <c r="P15" i="2"/>
  <c r="O15" i="2"/>
  <c r="M15" i="2"/>
  <c r="N15" i="2" s="1"/>
  <c r="L15" i="2"/>
  <c r="R15" i="2" s="1"/>
  <c r="I15" i="2"/>
  <c r="S15" i="2" s="1"/>
  <c r="H15" i="2"/>
  <c r="F15" i="2"/>
  <c r="D15" i="2"/>
  <c r="C15" i="2"/>
  <c r="Q14" i="2"/>
  <c r="P14" i="2"/>
  <c r="O14" i="2"/>
  <c r="M14" i="2"/>
  <c r="N14" i="2" s="1"/>
  <c r="I14" i="2"/>
  <c r="H14" i="2"/>
  <c r="F14" i="2"/>
  <c r="D14" i="2"/>
  <c r="C14" i="2"/>
  <c r="Q13" i="2"/>
  <c r="P13" i="2"/>
  <c r="O13" i="2"/>
  <c r="M13" i="2"/>
  <c r="I13" i="2"/>
  <c r="H13" i="2"/>
  <c r="F13" i="2"/>
  <c r="D13" i="2"/>
  <c r="C13" i="2"/>
  <c r="Q12" i="2"/>
  <c r="P12" i="2"/>
  <c r="O12" i="2"/>
  <c r="N12" i="2"/>
  <c r="M12" i="2"/>
  <c r="I12" i="2"/>
  <c r="L12" i="2" s="1"/>
  <c r="R12" i="2" s="1"/>
  <c r="H12" i="2"/>
  <c r="F12" i="2"/>
  <c r="D12" i="2"/>
  <c r="C12" i="2"/>
  <c r="Q11" i="2"/>
  <c r="P11" i="2"/>
  <c r="O11" i="2"/>
  <c r="M11" i="2"/>
  <c r="N11" i="2" s="1"/>
  <c r="I11" i="2"/>
  <c r="S11" i="2" s="1"/>
  <c r="H11" i="2"/>
  <c r="F11" i="2"/>
  <c r="D11" i="2"/>
  <c r="L11" i="2" s="1"/>
  <c r="R11" i="2" s="1"/>
  <c r="C11" i="2"/>
  <c r="Q10" i="2"/>
  <c r="P10" i="2"/>
  <c r="O10" i="2"/>
  <c r="M10" i="2"/>
  <c r="N10" i="2" s="1"/>
  <c r="L10" i="2"/>
  <c r="I10" i="2"/>
  <c r="H10" i="2"/>
  <c r="F10" i="2"/>
  <c r="D10" i="2"/>
  <c r="C10" i="2"/>
  <c r="Q9" i="2"/>
  <c r="P9" i="2"/>
  <c r="O9" i="2"/>
  <c r="M9" i="2"/>
  <c r="I9" i="2"/>
  <c r="H9" i="2"/>
  <c r="F9" i="2"/>
  <c r="D9" i="2"/>
  <c r="C9" i="2"/>
  <c r="Q8" i="2"/>
  <c r="P8" i="2"/>
  <c r="O8" i="2"/>
  <c r="M8" i="2"/>
  <c r="N20" i="2" s="1"/>
  <c r="I8" i="2"/>
  <c r="L8" i="2" s="1"/>
  <c r="R8" i="2" s="1"/>
  <c r="H8" i="2"/>
  <c r="F8" i="2"/>
  <c r="D8" i="2"/>
  <c r="C8" i="2"/>
  <c r="Q7" i="2"/>
  <c r="P7" i="2"/>
  <c r="O7" i="2"/>
  <c r="M7" i="2"/>
  <c r="N13" i="2" s="1"/>
  <c r="L7" i="2"/>
  <c r="R7" i="2" s="1"/>
  <c r="I7" i="2"/>
  <c r="H7" i="2"/>
  <c r="F7" i="2"/>
  <c r="D7" i="2"/>
  <c r="C7" i="2"/>
  <c r="Q6" i="2"/>
  <c r="P6" i="2"/>
  <c r="O6" i="2"/>
  <c r="M6" i="2"/>
  <c r="N36" i="2" s="1"/>
  <c r="I6" i="2"/>
  <c r="H6" i="2"/>
  <c r="F6" i="2"/>
  <c r="D6" i="2"/>
  <c r="C6" i="2"/>
  <c r="Q5" i="2"/>
  <c r="P5" i="2"/>
  <c r="O5" i="2"/>
  <c r="E9" i="6" s="1"/>
  <c r="N5" i="2"/>
  <c r="M5" i="2"/>
  <c r="N74" i="2" s="1"/>
  <c r="I5" i="2"/>
  <c r="L5" i="2" s="1"/>
  <c r="R5" i="2" s="1"/>
  <c r="H5" i="2"/>
  <c r="F5" i="2"/>
  <c r="D5" i="2"/>
  <c r="C5" i="2"/>
  <c r="G10" i="4" l="1"/>
  <c r="L10" i="4"/>
  <c r="U64" i="2"/>
  <c r="S10" i="2"/>
  <c r="U27" i="2"/>
  <c r="T27" i="2"/>
  <c r="U40" i="2"/>
  <c r="S66" i="2"/>
  <c r="U26" i="2"/>
  <c r="I8" i="4"/>
  <c r="U39" i="2"/>
  <c r="E9" i="4"/>
  <c r="T15" i="2"/>
  <c r="U15" i="2"/>
  <c r="G7" i="4"/>
  <c r="S23" i="2"/>
  <c r="E8" i="4"/>
  <c r="S35" i="2"/>
  <c r="S42" i="2"/>
  <c r="F9" i="4"/>
  <c r="U47" i="2"/>
  <c r="T47" i="2"/>
  <c r="L9" i="4"/>
  <c r="S55" i="2"/>
  <c r="U59" i="2"/>
  <c r="T59" i="2"/>
  <c r="C12" i="4"/>
  <c r="S78" i="2"/>
  <c r="K6" i="4"/>
  <c r="U16" i="2"/>
  <c r="S17" i="2"/>
  <c r="F8" i="4"/>
  <c r="U35" i="2"/>
  <c r="T35" i="2"/>
  <c r="G9" i="4"/>
  <c r="U48" i="2"/>
  <c r="S67" i="2"/>
  <c r="U85" i="2"/>
  <c r="L7" i="4"/>
  <c r="D11" i="4"/>
  <c r="U67" i="2"/>
  <c r="T67" i="2"/>
  <c r="J12" i="4"/>
  <c r="H7" i="4"/>
  <c r="U23" i="2"/>
  <c r="T23" i="2"/>
  <c r="U36" i="2"/>
  <c r="U24" i="2"/>
  <c r="T24" i="2"/>
  <c r="L8" i="4"/>
  <c r="U43" i="2"/>
  <c r="T43" i="2"/>
  <c r="D10" i="4"/>
  <c r="U56" i="2"/>
  <c r="J10" i="4"/>
  <c r="S63" i="2"/>
  <c r="T63" i="2" s="1"/>
  <c r="J11" i="4"/>
  <c r="G6" i="4"/>
  <c r="U10" i="2"/>
  <c r="H6" i="4"/>
  <c r="U11" i="2"/>
  <c r="T11" i="2"/>
  <c r="K8" i="4"/>
  <c r="C10" i="4"/>
  <c r="U55" i="2"/>
  <c r="T55" i="2"/>
  <c r="U12" i="2"/>
  <c r="C7" i="4"/>
  <c r="S19" i="2"/>
  <c r="T19" i="2" s="1"/>
  <c r="S26" i="2"/>
  <c r="C8" i="4"/>
  <c r="U31" i="2"/>
  <c r="T31" i="2"/>
  <c r="H8" i="4"/>
  <c r="S39" i="2"/>
  <c r="T39" i="2" s="1"/>
  <c r="I9" i="4"/>
  <c r="S51" i="2"/>
  <c r="S58" i="2"/>
  <c r="S70" i="2"/>
  <c r="U76" i="2"/>
  <c r="S76" i="2"/>
  <c r="F12" i="4"/>
  <c r="U81" i="2"/>
  <c r="H13" i="4"/>
  <c r="I6" i="4"/>
  <c r="U19" i="2"/>
  <c r="U32" i="2"/>
  <c r="S33" i="2"/>
  <c r="U51" i="2"/>
  <c r="T51" i="2"/>
  <c r="K10" i="4"/>
  <c r="U63" i="2"/>
  <c r="G11" i="4"/>
  <c r="R71" i="2"/>
  <c r="E7" i="4"/>
  <c r="E10" i="6"/>
  <c r="S8" i="2"/>
  <c r="L9" i="2"/>
  <c r="S16" i="2"/>
  <c r="T16" i="2" s="1"/>
  <c r="L17" i="2"/>
  <c r="U18" i="2"/>
  <c r="S24" i="2"/>
  <c r="L25" i="2"/>
  <c r="S32" i="2"/>
  <c r="T32" i="2" s="1"/>
  <c r="L33" i="2"/>
  <c r="U33" i="2" s="1"/>
  <c r="U34" i="2"/>
  <c r="S40" i="2"/>
  <c r="T40" i="2" s="1"/>
  <c r="L41" i="2"/>
  <c r="U42" i="2"/>
  <c r="S48" i="2"/>
  <c r="T48" i="2" s="1"/>
  <c r="L49" i="2"/>
  <c r="U50" i="2"/>
  <c r="S56" i="2"/>
  <c r="T56" i="2" s="1"/>
  <c r="L57" i="2"/>
  <c r="U58" i="2"/>
  <c r="S64" i="2"/>
  <c r="T64" i="2" s="1"/>
  <c r="L65" i="2"/>
  <c r="U66" i="2"/>
  <c r="L71" i="2"/>
  <c r="L75" i="2"/>
  <c r="U75" i="2" s="1"/>
  <c r="L83" i="2"/>
  <c r="N92" i="2"/>
  <c r="N104" i="2"/>
  <c r="N112" i="2"/>
  <c r="I109" i="3" s="1"/>
  <c r="N128" i="2"/>
  <c r="N144" i="2"/>
  <c r="N160" i="2"/>
  <c r="N176" i="2"/>
  <c r="N192" i="2"/>
  <c r="N228" i="2"/>
  <c r="E11" i="6"/>
  <c r="U17" i="2"/>
  <c r="R22" i="2"/>
  <c r="T22" i="2" s="1"/>
  <c r="U25" i="2"/>
  <c r="R38" i="2"/>
  <c r="T38" i="2" s="1"/>
  <c r="U49" i="2"/>
  <c r="U65" i="2"/>
  <c r="U74" i="2"/>
  <c r="S74" i="2"/>
  <c r="T74" i="2" s="1"/>
  <c r="N75" i="2"/>
  <c r="L78" i="2"/>
  <c r="R78" i="2" s="1"/>
  <c r="T78" i="2" s="1"/>
  <c r="N79" i="2"/>
  <c r="S79" i="2" s="1"/>
  <c r="N83" i="2"/>
  <c r="S85" i="2"/>
  <c r="T85" i="2" s="1"/>
  <c r="N101" i="2"/>
  <c r="N109" i="2"/>
  <c r="N124" i="2"/>
  <c r="N140" i="2"/>
  <c r="I301" i="3" s="1"/>
  <c r="N156" i="2"/>
  <c r="N172" i="2"/>
  <c r="N188" i="2"/>
  <c r="N219" i="2"/>
  <c r="U219" i="2" s="1"/>
  <c r="N244" i="2"/>
  <c r="N9" i="2"/>
  <c r="S9" i="2" s="1"/>
  <c r="N17" i="2"/>
  <c r="S22" i="2"/>
  <c r="S30" i="2"/>
  <c r="N33" i="2"/>
  <c r="S38" i="2"/>
  <c r="N41" i="2"/>
  <c r="U41" i="2" s="1"/>
  <c r="S46" i="2"/>
  <c r="N49" i="2"/>
  <c r="S54" i="2"/>
  <c r="N57" i="2"/>
  <c r="S62" i="2"/>
  <c r="N65" i="2"/>
  <c r="S65" i="2" s="1"/>
  <c r="L70" i="2"/>
  <c r="U70" i="2" s="1"/>
  <c r="N71" i="2"/>
  <c r="N90" i="2"/>
  <c r="L99" i="2"/>
  <c r="R99" i="2"/>
  <c r="R102" i="2"/>
  <c r="L102" i="2"/>
  <c r="R110" i="2"/>
  <c r="L110" i="2"/>
  <c r="N199" i="2"/>
  <c r="N235" i="2"/>
  <c r="U235" i="2" s="1"/>
  <c r="N260" i="2"/>
  <c r="S260" i="2" s="1"/>
  <c r="N25" i="2"/>
  <c r="S13" i="2"/>
  <c r="L14" i="2"/>
  <c r="U14" i="2" s="1"/>
  <c r="L22" i="2"/>
  <c r="U22" i="2" s="1"/>
  <c r="L30" i="2"/>
  <c r="U30" i="2" s="1"/>
  <c r="L38" i="2"/>
  <c r="U38" i="2" s="1"/>
  <c r="L46" i="2"/>
  <c r="U46" i="2" s="1"/>
  <c r="L54" i="2"/>
  <c r="U54" i="2" s="1"/>
  <c r="L62" i="2"/>
  <c r="U62" i="2" s="1"/>
  <c r="L82" i="2"/>
  <c r="R82" i="2" s="1"/>
  <c r="N88" i="2"/>
  <c r="S88" i="2" s="1"/>
  <c r="L91" i="2"/>
  <c r="R91" i="2" s="1"/>
  <c r="N96" i="2"/>
  <c r="S96" i="2" s="1"/>
  <c r="N99" i="2"/>
  <c r="U99" i="2" s="1"/>
  <c r="N105" i="2"/>
  <c r="N115" i="2"/>
  <c r="U116" i="2"/>
  <c r="N125" i="2"/>
  <c r="S125" i="2" s="1"/>
  <c r="N131" i="2"/>
  <c r="S136" i="2"/>
  <c r="N141" i="2"/>
  <c r="N147" i="2"/>
  <c r="N157" i="2"/>
  <c r="S157" i="2" s="1"/>
  <c r="N163" i="2"/>
  <c r="N173" i="2"/>
  <c r="N179" i="2"/>
  <c r="N189" i="2"/>
  <c r="S189" i="2" s="1"/>
  <c r="N195" i="2"/>
  <c r="N200" i="2"/>
  <c r="N205" i="2"/>
  <c r="N214" i="2"/>
  <c r="U214" i="2" s="1"/>
  <c r="N220" i="2"/>
  <c r="S14" i="2"/>
  <c r="S5" i="2"/>
  <c r="T5" i="2" s="1"/>
  <c r="N8" i="2"/>
  <c r="L21" i="2"/>
  <c r="R21" i="2" s="1"/>
  <c r="L29" i="2"/>
  <c r="R29" i="2" s="1"/>
  <c r="S36" i="2"/>
  <c r="T36" i="2" s="1"/>
  <c r="L37" i="2"/>
  <c r="R37" i="2" s="1"/>
  <c r="L45" i="2"/>
  <c r="R45" i="2" s="1"/>
  <c r="L53" i="2"/>
  <c r="R53" i="2" s="1"/>
  <c r="L61" i="2"/>
  <c r="R61" i="2" s="1"/>
  <c r="L69" i="2"/>
  <c r="R69" i="2" s="1"/>
  <c r="L73" i="2"/>
  <c r="R73" i="2" s="1"/>
  <c r="N91" i="2"/>
  <c r="N93" i="2"/>
  <c r="N120" i="2"/>
  <c r="N136" i="2"/>
  <c r="N152" i="2"/>
  <c r="S152" i="2" s="1"/>
  <c r="N168" i="2"/>
  <c r="S168" i="2" s="1"/>
  <c r="N184" i="2"/>
  <c r="N230" i="2"/>
  <c r="U230" i="2" s="1"/>
  <c r="N236" i="2"/>
  <c r="N261" i="2"/>
  <c r="D15" i="6"/>
  <c r="D8" i="6"/>
  <c r="L6" i="2"/>
  <c r="R6" i="2" s="1"/>
  <c r="N7" i="2"/>
  <c r="S7" i="2" s="1"/>
  <c r="S12" i="2"/>
  <c r="L13" i="2"/>
  <c r="R13" i="2" s="1"/>
  <c r="T13" i="2" s="1"/>
  <c r="S20" i="2"/>
  <c r="I309" i="3"/>
  <c r="I289" i="3"/>
  <c r="I293" i="3"/>
  <c r="I232" i="3"/>
  <c r="I228" i="3"/>
  <c r="I207" i="3"/>
  <c r="I168" i="3"/>
  <c r="I160" i="3"/>
  <c r="I235" i="3"/>
  <c r="I231" i="3"/>
  <c r="I223" i="3"/>
  <c r="I191" i="3"/>
  <c r="I234" i="3"/>
  <c r="I206" i="3"/>
  <c r="I203" i="3"/>
  <c r="I163" i="3"/>
  <c r="I122" i="3"/>
  <c r="I113" i="3"/>
  <c r="I108" i="3"/>
  <c r="I107" i="3"/>
  <c r="I106" i="3"/>
  <c r="I104" i="3"/>
  <c r="I103" i="3"/>
  <c r="I102" i="3"/>
  <c r="I198" i="3"/>
  <c r="I193" i="3"/>
  <c r="I115" i="3"/>
  <c r="I230" i="3"/>
  <c r="I116" i="3"/>
  <c r="I174" i="3"/>
  <c r="I238" i="3"/>
  <c r="I135" i="3"/>
  <c r="I226" i="3"/>
  <c r="N329" i="2"/>
  <c r="N321" i="2"/>
  <c r="N332" i="2"/>
  <c r="N323" i="2"/>
  <c r="N315" i="2"/>
  <c r="N307" i="2"/>
  <c r="N299" i="2"/>
  <c r="S299" i="2" s="1"/>
  <c r="N291" i="2"/>
  <c r="N283" i="2"/>
  <c r="I171" i="3"/>
  <c r="N327" i="2"/>
  <c r="N319" i="2"/>
  <c r="N311" i="2"/>
  <c r="N303" i="2"/>
  <c r="N295" i="2"/>
  <c r="S295" i="2" s="1"/>
  <c r="N287" i="2"/>
  <c r="N279" i="2"/>
  <c r="N281" i="2"/>
  <c r="N270" i="2"/>
  <c r="I218" i="3" s="1"/>
  <c r="N254" i="2"/>
  <c r="N238" i="2"/>
  <c r="I150" i="3" s="1"/>
  <c r="N222" i="2"/>
  <c r="N208" i="2"/>
  <c r="I179" i="3" s="1"/>
  <c r="N203" i="2"/>
  <c r="N193" i="2"/>
  <c r="N185" i="2"/>
  <c r="N177" i="2"/>
  <c r="N169" i="2"/>
  <c r="I242" i="3" s="1"/>
  <c r="N161" i="2"/>
  <c r="N153" i="2"/>
  <c r="N145" i="2"/>
  <c r="I112" i="3" s="1"/>
  <c r="N137" i="2"/>
  <c r="I239" i="3" s="1"/>
  <c r="N129" i="2"/>
  <c r="N121" i="2"/>
  <c r="N113" i="2"/>
  <c r="N318" i="2"/>
  <c r="N305" i="2"/>
  <c r="N245" i="2"/>
  <c r="N229" i="2"/>
  <c r="N213" i="2"/>
  <c r="N204" i="2"/>
  <c r="I56" i="3" s="1"/>
  <c r="N194" i="2"/>
  <c r="U194" i="2" s="1"/>
  <c r="N186" i="2"/>
  <c r="N178" i="2"/>
  <c r="I176" i="3" s="1"/>
  <c r="N170" i="2"/>
  <c r="N162" i="2"/>
  <c r="N154" i="2"/>
  <c r="U154" i="2" s="1"/>
  <c r="N146" i="2"/>
  <c r="U146" i="2" s="1"/>
  <c r="N138" i="2"/>
  <c r="N130" i="2"/>
  <c r="U130" i="2" s="1"/>
  <c r="N122" i="2"/>
  <c r="N114" i="2"/>
  <c r="N106" i="2"/>
  <c r="N98" i="2"/>
  <c r="N326" i="2"/>
  <c r="I319" i="3" s="1"/>
  <c r="N302" i="2"/>
  <c r="N278" i="2"/>
  <c r="S278" i="2" s="1"/>
  <c r="N267" i="2"/>
  <c r="I125" i="3" s="1"/>
  <c r="N257" i="2"/>
  <c r="N251" i="2"/>
  <c r="N241" i="2"/>
  <c r="N225" i="2"/>
  <c r="N209" i="2"/>
  <c r="S209" i="2" s="1"/>
  <c r="N289" i="2"/>
  <c r="I155" i="3" s="1"/>
  <c r="N273" i="2"/>
  <c r="U273" i="2" s="1"/>
  <c r="N271" i="2"/>
  <c r="N255" i="2"/>
  <c r="N239" i="2"/>
  <c r="N223" i="2"/>
  <c r="N313" i="2"/>
  <c r="N286" i="2"/>
  <c r="N275" i="2"/>
  <c r="S275" i="2" s="1"/>
  <c r="N262" i="2"/>
  <c r="U262" i="2" s="1"/>
  <c r="N201" i="2"/>
  <c r="N310" i="2"/>
  <c r="I188" i="3" s="1"/>
  <c r="N269" i="2"/>
  <c r="N253" i="2"/>
  <c r="N237" i="2"/>
  <c r="N221" i="2"/>
  <c r="N207" i="2"/>
  <c r="I147" i="3" s="1"/>
  <c r="N198" i="2"/>
  <c r="S198" i="2" s="1"/>
  <c r="N190" i="2"/>
  <c r="S190" i="2" s="1"/>
  <c r="N182" i="2"/>
  <c r="N174" i="2"/>
  <c r="N166" i="2"/>
  <c r="S166" i="2" s="1"/>
  <c r="N158" i="2"/>
  <c r="N150" i="2"/>
  <c r="S150" i="2" s="1"/>
  <c r="N142" i="2"/>
  <c r="S142" i="2" s="1"/>
  <c r="N134" i="2"/>
  <c r="S134" i="2" s="1"/>
  <c r="N126" i="2"/>
  <c r="S126" i="2" s="1"/>
  <c r="N118" i="2"/>
  <c r="N110" i="2"/>
  <c r="N102" i="2"/>
  <c r="N297" i="2"/>
  <c r="N265" i="2"/>
  <c r="N259" i="2"/>
  <c r="N249" i="2"/>
  <c r="N243" i="2"/>
  <c r="N233" i="2"/>
  <c r="N227" i="2"/>
  <c r="S227" i="2" s="1"/>
  <c r="N217" i="2"/>
  <c r="I148" i="3" s="1"/>
  <c r="N211" i="2"/>
  <c r="N191" i="2"/>
  <c r="U191" i="2" s="1"/>
  <c r="N183" i="2"/>
  <c r="S183" i="2" s="1"/>
  <c r="N175" i="2"/>
  <c r="N167" i="2"/>
  <c r="S167" i="2" s="1"/>
  <c r="N159" i="2"/>
  <c r="S159" i="2" s="1"/>
  <c r="N151" i="2"/>
  <c r="N143" i="2"/>
  <c r="N135" i="2"/>
  <c r="N127" i="2"/>
  <c r="U127" i="2" s="1"/>
  <c r="N119" i="2"/>
  <c r="S119" i="2" s="1"/>
  <c r="N111" i="2"/>
  <c r="S111" i="2" s="1"/>
  <c r="N103" i="2"/>
  <c r="N294" i="2"/>
  <c r="S294" i="2" s="1"/>
  <c r="N263" i="2"/>
  <c r="N247" i="2"/>
  <c r="I123" i="3" s="1"/>
  <c r="N231" i="2"/>
  <c r="N215" i="2"/>
  <c r="S215" i="2" s="1"/>
  <c r="U5" i="2"/>
  <c r="N6" i="2"/>
  <c r="C23" i="6" s="1"/>
  <c r="R10" i="2"/>
  <c r="T10" i="2" s="1"/>
  <c r="T12" i="2"/>
  <c r="R18" i="2"/>
  <c r="T18" i="2" s="1"/>
  <c r="L20" i="2"/>
  <c r="R20" i="2" s="1"/>
  <c r="T20" i="2" s="1"/>
  <c r="R26" i="2"/>
  <c r="T26" i="2" s="1"/>
  <c r="R34" i="2"/>
  <c r="T34" i="2" s="1"/>
  <c r="R42" i="2"/>
  <c r="T42" i="2" s="1"/>
  <c r="R50" i="2"/>
  <c r="T50" i="2" s="1"/>
  <c r="R58" i="2"/>
  <c r="T58" i="2" s="1"/>
  <c r="R66" i="2"/>
  <c r="T66" i="2" s="1"/>
  <c r="R75" i="2"/>
  <c r="R76" i="2"/>
  <c r="T76" i="2" s="1"/>
  <c r="N80" i="2"/>
  <c r="N82" i="2"/>
  <c r="S82" i="2" s="1"/>
  <c r="R83" i="2"/>
  <c r="L84" i="2"/>
  <c r="R84" i="2" s="1"/>
  <c r="R86" i="2"/>
  <c r="T86" i="2" s="1"/>
  <c r="L87" i="2"/>
  <c r="R87" i="2" s="1"/>
  <c r="L89" i="2"/>
  <c r="R89" i="2" s="1"/>
  <c r="R94" i="2"/>
  <c r="T94" i="2" s="1"/>
  <c r="L95" i="2"/>
  <c r="R95" i="2" s="1"/>
  <c r="L97" i="2"/>
  <c r="R97" i="2" s="1"/>
  <c r="N107" i="2"/>
  <c r="U107" i="2" s="1"/>
  <c r="N116" i="2"/>
  <c r="S117" i="2"/>
  <c r="N132" i="2"/>
  <c r="S133" i="2"/>
  <c r="S143" i="2"/>
  <c r="N148" i="2"/>
  <c r="S149" i="2"/>
  <c r="N164" i="2"/>
  <c r="S165" i="2"/>
  <c r="S175" i="2"/>
  <c r="N180" i="2"/>
  <c r="S181" i="2"/>
  <c r="N196" i="2"/>
  <c r="S197" i="2"/>
  <c r="N206" i="2"/>
  <c r="S206" i="2" s="1"/>
  <c r="S243" i="2"/>
  <c r="N246" i="2"/>
  <c r="U267" i="2"/>
  <c r="S291" i="2"/>
  <c r="S302" i="2"/>
  <c r="C6" i="4"/>
  <c r="R9" i="2"/>
  <c r="R17" i="2"/>
  <c r="N21" i="2"/>
  <c r="U21" i="2" s="1"/>
  <c r="R25" i="2"/>
  <c r="N29" i="2"/>
  <c r="U29" i="2" s="1"/>
  <c r="R33" i="2"/>
  <c r="N37" i="2"/>
  <c r="U37" i="2" s="1"/>
  <c r="R41" i="2"/>
  <c r="N45" i="2"/>
  <c r="R49" i="2"/>
  <c r="N53" i="2"/>
  <c r="U53" i="2" s="1"/>
  <c r="R57" i="2"/>
  <c r="N61" i="2"/>
  <c r="I196" i="3" s="1"/>
  <c r="R65" i="2"/>
  <c r="N69" i="2"/>
  <c r="U69" i="2" s="1"/>
  <c r="N73" i="2"/>
  <c r="N77" i="2"/>
  <c r="R79" i="2"/>
  <c r="U79" i="2"/>
  <c r="N84" i="2"/>
  <c r="S86" i="2"/>
  <c r="U92" i="2"/>
  <c r="R92" i="2"/>
  <c r="S94" i="2"/>
  <c r="N100" i="2"/>
  <c r="U139" i="2"/>
  <c r="N28" i="2"/>
  <c r="N44" i="2"/>
  <c r="S44" i="2" s="1"/>
  <c r="N52" i="2"/>
  <c r="J9" i="4" s="1"/>
  <c r="N60" i="2"/>
  <c r="S60" i="2" s="1"/>
  <c r="N68" i="2"/>
  <c r="S68" i="2" s="1"/>
  <c r="U71" i="2"/>
  <c r="S71" i="2"/>
  <c r="N72" i="2"/>
  <c r="U83" i="2"/>
  <c r="U86" i="2"/>
  <c r="N87" i="2"/>
  <c r="U87" i="2" s="1"/>
  <c r="N89" i="2"/>
  <c r="U94" i="2"/>
  <c r="N95" i="2"/>
  <c r="I199" i="3" s="1"/>
  <c r="N97" i="2"/>
  <c r="S99" i="2"/>
  <c r="S101" i="2"/>
  <c r="S102" i="2"/>
  <c r="S104" i="2"/>
  <c r="N108" i="2"/>
  <c r="S108" i="2" s="1"/>
  <c r="S109" i="2"/>
  <c r="S110" i="2"/>
  <c r="S112" i="2"/>
  <c r="N117" i="2"/>
  <c r="N123" i="2"/>
  <c r="U124" i="2"/>
  <c r="S128" i="2"/>
  <c r="N133" i="2"/>
  <c r="I140" i="3" s="1"/>
  <c r="N139" i="2"/>
  <c r="S140" i="2"/>
  <c r="S144" i="2"/>
  <c r="N149" i="2"/>
  <c r="N155" i="2"/>
  <c r="S156" i="2"/>
  <c r="S160" i="2"/>
  <c r="N165" i="2"/>
  <c r="N171" i="2"/>
  <c r="S172" i="2"/>
  <c r="S176" i="2"/>
  <c r="N181" i="2"/>
  <c r="N187" i="2"/>
  <c r="S188" i="2"/>
  <c r="S192" i="2"/>
  <c r="N197" i="2"/>
  <c r="N212" i="2"/>
  <c r="S244" i="2"/>
  <c r="N252" i="2"/>
  <c r="S259" i="2"/>
  <c r="N268" i="2"/>
  <c r="S268" i="2" s="1"/>
  <c r="R100" i="2"/>
  <c r="U103" i="2"/>
  <c r="R108" i="2"/>
  <c r="U111" i="2"/>
  <c r="R116" i="2"/>
  <c r="L118" i="2"/>
  <c r="R118" i="2" s="1"/>
  <c r="U119" i="2"/>
  <c r="R124" i="2"/>
  <c r="L126" i="2"/>
  <c r="R132" i="2"/>
  <c r="L134" i="2"/>
  <c r="U135" i="2"/>
  <c r="R140" i="2"/>
  <c r="L142" i="2"/>
  <c r="U143" i="2"/>
  <c r="R148" i="2"/>
  <c r="L150" i="2"/>
  <c r="U151" i="2"/>
  <c r="R156" i="2"/>
  <c r="L158" i="2"/>
  <c r="U159" i="2"/>
  <c r="R164" i="2"/>
  <c r="L166" i="2"/>
  <c r="U167" i="2"/>
  <c r="R172" i="2"/>
  <c r="L174" i="2"/>
  <c r="U174" i="2" s="1"/>
  <c r="U175" i="2"/>
  <c r="R180" i="2"/>
  <c r="L182" i="2"/>
  <c r="R182" i="2" s="1"/>
  <c r="U183" i="2"/>
  <c r="R188" i="2"/>
  <c r="L190" i="2"/>
  <c r="R196" i="2"/>
  <c r="L198" i="2"/>
  <c r="U201" i="2"/>
  <c r="S201" i="2"/>
  <c r="N202" i="2"/>
  <c r="S202" i="2" s="1"/>
  <c r="U211" i="2"/>
  <c r="S216" i="2"/>
  <c r="U227" i="2"/>
  <c r="U243" i="2"/>
  <c r="U259" i="2"/>
  <c r="N282" i="2"/>
  <c r="I219" i="3" s="1"/>
  <c r="N288" i="2"/>
  <c r="I127" i="3" s="1"/>
  <c r="R292" i="2"/>
  <c r="U307" i="2"/>
  <c r="L307" i="2"/>
  <c r="R307" i="2"/>
  <c r="L310" i="2"/>
  <c r="R310" i="2"/>
  <c r="U310" i="2"/>
  <c r="U313" i="2"/>
  <c r="N320" i="2"/>
  <c r="U321" i="2"/>
  <c r="I8" i="3"/>
  <c r="I11" i="3"/>
  <c r="I24" i="3"/>
  <c r="I27" i="3"/>
  <c r="I40" i="3"/>
  <c r="I43" i="3"/>
  <c r="S100" i="2"/>
  <c r="R107" i="2"/>
  <c r="R115" i="2"/>
  <c r="S116" i="2"/>
  <c r="S124" i="2"/>
  <c r="U126" i="2"/>
  <c r="S132" i="2"/>
  <c r="U134" i="2"/>
  <c r="R139" i="2"/>
  <c r="U142" i="2"/>
  <c r="U150" i="2"/>
  <c r="R155" i="2"/>
  <c r="U158" i="2"/>
  <c r="U166" i="2"/>
  <c r="R171" i="2"/>
  <c r="U182" i="2"/>
  <c r="U190" i="2"/>
  <c r="R200" i="2"/>
  <c r="R206" i="2"/>
  <c r="L214" i="2"/>
  <c r="R214" i="2"/>
  <c r="R220" i="2"/>
  <c r="S223" i="2"/>
  <c r="L230" i="2"/>
  <c r="R230" i="2"/>
  <c r="R236" i="2"/>
  <c r="S239" i="2"/>
  <c r="L246" i="2"/>
  <c r="R246" i="2"/>
  <c r="R251" i="2"/>
  <c r="R252" i="2"/>
  <c r="S255" i="2"/>
  <c r="L262" i="2"/>
  <c r="R262" i="2" s="1"/>
  <c r="R267" i="2"/>
  <c r="S271" i="2"/>
  <c r="L275" i="2"/>
  <c r="U275" i="2" s="1"/>
  <c r="N277" i="2"/>
  <c r="L283" i="2"/>
  <c r="R283" i="2" s="1"/>
  <c r="L286" i="2"/>
  <c r="R286" i="2" s="1"/>
  <c r="U286" i="2"/>
  <c r="U289" i="2"/>
  <c r="N301" i="2"/>
  <c r="L304" i="2"/>
  <c r="N316" i="2"/>
  <c r="N330" i="2"/>
  <c r="I5" i="3"/>
  <c r="I18" i="3"/>
  <c r="I21" i="3"/>
  <c r="I37" i="3"/>
  <c r="I50" i="3"/>
  <c r="I53" i="3"/>
  <c r="S107" i="2"/>
  <c r="S115" i="2"/>
  <c r="S123" i="2"/>
  <c r="S131" i="2"/>
  <c r="S139" i="2"/>
  <c r="S147" i="2"/>
  <c r="S155" i="2"/>
  <c r="S163" i="2"/>
  <c r="S171" i="2"/>
  <c r="S179" i="2"/>
  <c r="S187" i="2"/>
  <c r="S195" i="2"/>
  <c r="S205" i="2"/>
  <c r="U209" i="2"/>
  <c r="N210" i="2"/>
  <c r="L216" i="2"/>
  <c r="R216" i="2" s="1"/>
  <c r="S219" i="2"/>
  <c r="U225" i="2"/>
  <c r="S225" i="2"/>
  <c r="N226" i="2"/>
  <c r="L232" i="2"/>
  <c r="S235" i="2"/>
  <c r="S241" i="2"/>
  <c r="N242" i="2"/>
  <c r="L248" i="2"/>
  <c r="R248" i="2" s="1"/>
  <c r="S251" i="2"/>
  <c r="U257" i="2"/>
  <c r="S257" i="2"/>
  <c r="N258" i="2"/>
  <c r="I184" i="3" s="1"/>
  <c r="L264" i="2"/>
  <c r="R264" i="2" s="1"/>
  <c r="S267" i="2"/>
  <c r="L268" i="2"/>
  <c r="R268" i="2" s="1"/>
  <c r="N292" i="2"/>
  <c r="N298" i="2"/>
  <c r="N304" i="2"/>
  <c r="R308" i="2"/>
  <c r="N322" i="2"/>
  <c r="N325" i="2"/>
  <c r="I12" i="3"/>
  <c r="I15" i="3"/>
  <c r="I28" i="3"/>
  <c r="I31" i="3"/>
  <c r="M31" i="3" s="1"/>
  <c r="N31" i="3" s="1"/>
  <c r="I44" i="3"/>
  <c r="I47" i="3"/>
  <c r="I63" i="3"/>
  <c r="S90" i="2"/>
  <c r="S98" i="2"/>
  <c r="S106" i="2"/>
  <c r="L107" i="2"/>
  <c r="S114" i="2"/>
  <c r="L115" i="2"/>
  <c r="S122" i="2"/>
  <c r="L123" i="2"/>
  <c r="R123" i="2" s="1"/>
  <c r="S130" i="2"/>
  <c r="L131" i="2"/>
  <c r="U131" i="2" s="1"/>
  <c r="S138" i="2"/>
  <c r="L139" i="2"/>
  <c r="S146" i="2"/>
  <c r="L147" i="2"/>
  <c r="U147" i="2" s="1"/>
  <c r="S154" i="2"/>
  <c r="L155" i="2"/>
  <c r="U155" i="2" s="1"/>
  <c r="S162" i="2"/>
  <c r="L163" i="2"/>
  <c r="U163" i="2" s="1"/>
  <c r="S170" i="2"/>
  <c r="L171" i="2"/>
  <c r="U171" i="2" s="1"/>
  <c r="S178" i="2"/>
  <c r="L179" i="2"/>
  <c r="R179" i="2" s="1"/>
  <c r="S186" i="2"/>
  <c r="L187" i="2"/>
  <c r="R187" i="2" s="1"/>
  <c r="S194" i="2"/>
  <c r="L195" i="2"/>
  <c r="R195" i="2" s="1"/>
  <c r="U200" i="2"/>
  <c r="S204" i="2"/>
  <c r="L205" i="2"/>
  <c r="R205" i="2" s="1"/>
  <c r="L209" i="2"/>
  <c r="R209" i="2" s="1"/>
  <c r="S213" i="2"/>
  <c r="N216" i="2"/>
  <c r="U216" i="2" s="1"/>
  <c r="L219" i="2"/>
  <c r="R219" i="2" s="1"/>
  <c r="R224" i="2"/>
  <c r="L225" i="2"/>
  <c r="R225" i="2" s="1"/>
  <c r="S229" i="2"/>
  <c r="N232" i="2"/>
  <c r="U232" i="2" s="1"/>
  <c r="L235" i="2"/>
  <c r="R235" i="2" s="1"/>
  <c r="L241" i="2"/>
  <c r="U241" i="2" s="1"/>
  <c r="S245" i="2"/>
  <c r="N248" i="2"/>
  <c r="U248" i="2" s="1"/>
  <c r="S261" i="2"/>
  <c r="N264" i="2"/>
  <c r="L267" i="2"/>
  <c r="L278" i="2"/>
  <c r="R278" i="2" s="1"/>
  <c r="N280" i="2"/>
  <c r="S293" i="2"/>
  <c r="U299" i="2"/>
  <c r="L299" i="2"/>
  <c r="R299" i="2" s="1"/>
  <c r="L302" i="2"/>
  <c r="R302" i="2" s="1"/>
  <c r="U305" i="2"/>
  <c r="S311" i="2"/>
  <c r="N317" i="2"/>
  <c r="U323" i="2"/>
  <c r="L323" i="2"/>
  <c r="R323" i="2"/>
  <c r="N331" i="2"/>
  <c r="I6" i="3"/>
  <c r="M6" i="3" s="1"/>
  <c r="N6" i="3" s="1"/>
  <c r="I9" i="3"/>
  <c r="I22" i="3"/>
  <c r="I25" i="3"/>
  <c r="I38" i="3"/>
  <c r="I41" i="3"/>
  <c r="I54" i="3"/>
  <c r="M54" i="3" s="1"/>
  <c r="N54" i="3" s="1"/>
  <c r="I57" i="3"/>
  <c r="S81" i="2"/>
  <c r="T81" i="2" s="1"/>
  <c r="S89" i="2"/>
  <c r="L90" i="2"/>
  <c r="R90" i="2" s="1"/>
  <c r="S97" i="2"/>
  <c r="L98" i="2"/>
  <c r="R98" i="2" s="1"/>
  <c r="S105" i="2"/>
  <c r="L106" i="2"/>
  <c r="R106" i="2" s="1"/>
  <c r="S113" i="2"/>
  <c r="L114" i="2"/>
  <c r="R114" i="2" s="1"/>
  <c r="S121" i="2"/>
  <c r="L122" i="2"/>
  <c r="R122" i="2" s="1"/>
  <c r="S129" i="2"/>
  <c r="L130" i="2"/>
  <c r="R130" i="2" s="1"/>
  <c r="S137" i="2"/>
  <c r="L138" i="2"/>
  <c r="R138" i="2" s="1"/>
  <c r="S145" i="2"/>
  <c r="L146" i="2"/>
  <c r="R146" i="2" s="1"/>
  <c r="S153" i="2"/>
  <c r="L154" i="2"/>
  <c r="R154" i="2" s="1"/>
  <c r="S161" i="2"/>
  <c r="L162" i="2"/>
  <c r="R162" i="2" s="1"/>
  <c r="S169" i="2"/>
  <c r="L170" i="2"/>
  <c r="R170" i="2" s="1"/>
  <c r="S177" i="2"/>
  <c r="L178" i="2"/>
  <c r="R178" i="2" s="1"/>
  <c r="S185" i="2"/>
  <c r="L186" i="2"/>
  <c r="R186" i="2" s="1"/>
  <c r="S193" i="2"/>
  <c r="L194" i="2"/>
  <c r="R194" i="2" s="1"/>
  <c r="R202" i="2"/>
  <c r="S203" i="2"/>
  <c r="L204" i="2"/>
  <c r="R204" i="2" s="1"/>
  <c r="S224" i="2"/>
  <c r="U281" i="2"/>
  <c r="S287" i="2"/>
  <c r="N293" i="2"/>
  <c r="L296" i="2"/>
  <c r="N308" i="2"/>
  <c r="U308" i="2" s="1"/>
  <c r="N314" i="2"/>
  <c r="I317" i="3" s="1"/>
  <c r="I16" i="3"/>
  <c r="I19" i="3"/>
  <c r="I32" i="3"/>
  <c r="I35" i="3"/>
  <c r="I48" i="3"/>
  <c r="I51" i="3"/>
  <c r="M70" i="3"/>
  <c r="N70" i="3" s="1"/>
  <c r="L70" i="3"/>
  <c r="R103" i="2"/>
  <c r="R111" i="2"/>
  <c r="R119" i="2"/>
  <c r="R127" i="2"/>
  <c r="R135" i="2"/>
  <c r="R143" i="2"/>
  <c r="R151" i="2"/>
  <c r="R159" i="2"/>
  <c r="R167" i="2"/>
  <c r="R175" i="2"/>
  <c r="R183" i="2"/>
  <c r="R191" i="2"/>
  <c r="S199" i="2"/>
  <c r="L208" i="2"/>
  <c r="R208" i="2" s="1"/>
  <c r="U208" i="2"/>
  <c r="R211" i="2"/>
  <c r="R212" i="2"/>
  <c r="L218" i="2"/>
  <c r="R218" i="2" s="1"/>
  <c r="L222" i="2"/>
  <c r="R222" i="2" s="1"/>
  <c r="R227" i="2"/>
  <c r="R228" i="2"/>
  <c r="S231" i="2"/>
  <c r="L234" i="2"/>
  <c r="R234" i="2" s="1"/>
  <c r="L238" i="2"/>
  <c r="U238" i="2" s="1"/>
  <c r="R238" i="2"/>
  <c r="R243" i="2"/>
  <c r="R244" i="2"/>
  <c r="S247" i="2"/>
  <c r="L254" i="2"/>
  <c r="R254" i="2"/>
  <c r="S263" i="2"/>
  <c r="L270" i="2"/>
  <c r="R270" i="2" s="1"/>
  <c r="U276" i="2"/>
  <c r="N284" i="2"/>
  <c r="N290" i="2"/>
  <c r="N296" i="2"/>
  <c r="R300" i="2"/>
  <c r="S309" i="2"/>
  <c r="L315" i="2"/>
  <c r="R315" i="2" s="1"/>
  <c r="R324" i="2"/>
  <c r="S327" i="2"/>
  <c r="I10" i="3"/>
  <c r="I13" i="3"/>
  <c r="I26" i="3"/>
  <c r="I29" i="3"/>
  <c r="I42" i="3"/>
  <c r="M42" i="3" s="1"/>
  <c r="N42" i="3" s="1"/>
  <c r="I45" i="3"/>
  <c r="I61" i="3"/>
  <c r="R126" i="2"/>
  <c r="R134" i="2"/>
  <c r="R142" i="2"/>
  <c r="R150" i="2"/>
  <c r="R158" i="2"/>
  <c r="R166" i="2"/>
  <c r="R174" i="2"/>
  <c r="R190" i="2"/>
  <c r="U217" i="2"/>
  <c r="S217" i="2"/>
  <c r="N218" i="2"/>
  <c r="U233" i="2"/>
  <c r="S233" i="2"/>
  <c r="N234" i="2"/>
  <c r="U234" i="2" s="1"/>
  <c r="L240" i="2"/>
  <c r="R240" i="2" s="1"/>
  <c r="U249" i="2"/>
  <c r="S249" i="2"/>
  <c r="N250" i="2"/>
  <c r="L256" i="2"/>
  <c r="R256" i="2" s="1"/>
  <c r="L260" i="2"/>
  <c r="U260" i="2" s="1"/>
  <c r="U265" i="2"/>
  <c r="S265" i="2"/>
  <c r="N266" i="2"/>
  <c r="L272" i="2"/>
  <c r="R272" i="2" s="1"/>
  <c r="L276" i="2"/>
  <c r="R276" i="2" s="1"/>
  <c r="S279" i="2"/>
  <c r="S283" i="2"/>
  <c r="L291" i="2"/>
  <c r="U291" i="2" s="1"/>
  <c r="L294" i="2"/>
  <c r="R294" i="2" s="1"/>
  <c r="U294" i="2"/>
  <c r="U297" i="2"/>
  <c r="S303" i="2"/>
  <c r="N309" i="2"/>
  <c r="L312" i="2"/>
  <c r="S319" i="2"/>
  <c r="I7" i="3"/>
  <c r="I20" i="3"/>
  <c r="M20" i="3" s="1"/>
  <c r="N20" i="3" s="1"/>
  <c r="I23" i="3"/>
  <c r="I36" i="3"/>
  <c r="I39" i="3"/>
  <c r="I52" i="3"/>
  <c r="I55" i="3"/>
  <c r="R198" i="2"/>
  <c r="S207" i="2"/>
  <c r="S221" i="2"/>
  <c r="N224" i="2"/>
  <c r="I58" i="3" s="1"/>
  <c r="R232" i="2"/>
  <c r="S237" i="2"/>
  <c r="N240" i="2"/>
  <c r="S253" i="2"/>
  <c r="N256" i="2"/>
  <c r="S269" i="2"/>
  <c r="N272" i="2"/>
  <c r="U272" i="2" s="1"/>
  <c r="N274" i="2"/>
  <c r="R275" i="2"/>
  <c r="N276" i="2"/>
  <c r="N285" i="2"/>
  <c r="L288" i="2"/>
  <c r="R288" i="2" s="1"/>
  <c r="N300" i="2"/>
  <c r="N306" i="2"/>
  <c r="N312" i="2"/>
  <c r="S312" i="2" s="1"/>
  <c r="N324" i="2"/>
  <c r="N328" i="2"/>
  <c r="J6" i="4" s="1"/>
  <c r="U329" i="2"/>
  <c r="I14" i="3"/>
  <c r="M14" i="3" s="1"/>
  <c r="N14" i="3" s="1"/>
  <c r="I17" i="3"/>
  <c r="I30" i="3"/>
  <c r="I33" i="3"/>
  <c r="I46" i="3"/>
  <c r="M46" i="3" s="1"/>
  <c r="N46" i="3" s="1"/>
  <c r="I49" i="3"/>
  <c r="S284" i="2"/>
  <c r="S292" i="2"/>
  <c r="S300" i="2"/>
  <c r="S316" i="2"/>
  <c r="S331" i="2"/>
  <c r="M8" i="3"/>
  <c r="N8" i="3" s="1"/>
  <c r="M10" i="3"/>
  <c r="N10" i="3" s="1"/>
  <c r="M12" i="3"/>
  <c r="N12" i="3" s="1"/>
  <c r="M16" i="3"/>
  <c r="N16" i="3" s="1"/>
  <c r="M18" i="3"/>
  <c r="N18" i="3" s="1"/>
  <c r="M24" i="3"/>
  <c r="N24" i="3" s="1"/>
  <c r="M26" i="3"/>
  <c r="N26" i="3" s="1"/>
  <c r="M28" i="3"/>
  <c r="N28" i="3" s="1"/>
  <c r="M30" i="3"/>
  <c r="N30" i="3" s="1"/>
  <c r="M32" i="3"/>
  <c r="N32" i="3" s="1"/>
  <c r="M36" i="3"/>
  <c r="N36" i="3" s="1"/>
  <c r="M38" i="3"/>
  <c r="N38" i="3" s="1"/>
  <c r="M40" i="3"/>
  <c r="N40" i="3" s="1"/>
  <c r="M44" i="3"/>
  <c r="N44" i="3" s="1"/>
  <c r="M48" i="3"/>
  <c r="N48" i="3" s="1"/>
  <c r="M50" i="3"/>
  <c r="N50" i="3" s="1"/>
  <c r="M52" i="3"/>
  <c r="N52" i="3" s="1"/>
  <c r="M67" i="3"/>
  <c r="N67" i="3" s="1"/>
  <c r="I70" i="3"/>
  <c r="I78" i="3"/>
  <c r="I86" i="3"/>
  <c r="I94" i="3"/>
  <c r="M99" i="3"/>
  <c r="N99" i="3" s="1"/>
  <c r="M107" i="3"/>
  <c r="N107" i="3" s="1"/>
  <c r="I131" i="3"/>
  <c r="I137" i="3"/>
  <c r="L173" i="3"/>
  <c r="I211" i="3"/>
  <c r="I73" i="3"/>
  <c r="M78" i="3"/>
  <c r="N78" i="3" s="1"/>
  <c r="I81" i="3"/>
  <c r="M86" i="3"/>
  <c r="N86" i="3" s="1"/>
  <c r="I89" i="3"/>
  <c r="M94" i="3"/>
  <c r="N94" i="3" s="1"/>
  <c r="I97" i="3"/>
  <c r="M102" i="3"/>
  <c r="N102" i="3" s="1"/>
  <c r="I118" i="3"/>
  <c r="I126" i="3"/>
  <c r="I134" i="3"/>
  <c r="S274" i="2"/>
  <c r="S282" i="2"/>
  <c r="U284" i="2"/>
  <c r="S290" i="2"/>
  <c r="U292" i="2"/>
  <c r="S298" i="2"/>
  <c r="U300" i="2"/>
  <c r="S306" i="2"/>
  <c r="S314" i="2"/>
  <c r="U316" i="2"/>
  <c r="S322" i="2"/>
  <c r="I68" i="3"/>
  <c r="M73" i="3"/>
  <c r="N73" i="3" s="1"/>
  <c r="I76" i="3"/>
  <c r="L78" i="3"/>
  <c r="M81" i="3"/>
  <c r="N81" i="3" s="1"/>
  <c r="I84" i="3"/>
  <c r="L86" i="3"/>
  <c r="M89" i="3"/>
  <c r="N89" i="3" s="1"/>
  <c r="L94" i="3"/>
  <c r="I100" i="3"/>
  <c r="M113" i="3"/>
  <c r="N113" i="3" s="1"/>
  <c r="I138" i="3"/>
  <c r="I141" i="3"/>
  <c r="M141" i="3" s="1"/>
  <c r="N141" i="3" s="1"/>
  <c r="L143" i="3"/>
  <c r="I153" i="3"/>
  <c r="S273" i="2"/>
  <c r="R280" i="2"/>
  <c r="S281" i="2"/>
  <c r="S289" i="2"/>
  <c r="R296" i="2"/>
  <c r="S297" i="2"/>
  <c r="R304" i="2"/>
  <c r="S305" i="2"/>
  <c r="R312" i="2"/>
  <c r="S313" i="2"/>
  <c r="S321" i="2"/>
  <c r="L322" i="2"/>
  <c r="R322" i="2" s="1"/>
  <c r="S329" i="2"/>
  <c r="L330" i="2"/>
  <c r="U330" i="2" s="1"/>
  <c r="L65" i="3"/>
  <c r="M68" i="3"/>
  <c r="N68" i="3" s="1"/>
  <c r="I71" i="3"/>
  <c r="L73" i="3"/>
  <c r="M76" i="3"/>
  <c r="N76" i="3" s="1"/>
  <c r="I79" i="3"/>
  <c r="M79" i="3" s="1"/>
  <c r="N79" i="3" s="1"/>
  <c r="L81" i="3"/>
  <c r="M84" i="3"/>
  <c r="N84" i="3" s="1"/>
  <c r="I87" i="3"/>
  <c r="L89" i="3"/>
  <c r="I95" i="3"/>
  <c r="M95" i="3" s="1"/>
  <c r="N95" i="3" s="1"/>
  <c r="L97" i="3"/>
  <c r="M100" i="3"/>
  <c r="N100" i="3" s="1"/>
  <c r="M108" i="3"/>
  <c r="N108" i="3" s="1"/>
  <c r="I121" i="3"/>
  <c r="M121" i="3" s="1"/>
  <c r="N121" i="3" s="1"/>
  <c r="I124" i="3"/>
  <c r="I181" i="3"/>
  <c r="M181" i="3" s="1"/>
  <c r="N181" i="3" s="1"/>
  <c r="L199" i="3"/>
  <c r="S280" i="2"/>
  <c r="S288" i="2"/>
  <c r="S296" i="2"/>
  <c r="S304" i="2"/>
  <c r="S320" i="2"/>
  <c r="S328" i="2"/>
  <c r="M5" i="3"/>
  <c r="N5" i="3" s="1"/>
  <c r="M7" i="3"/>
  <c r="N7" i="3" s="1"/>
  <c r="M9" i="3"/>
  <c r="N9" i="3" s="1"/>
  <c r="M11" i="3"/>
  <c r="N11" i="3" s="1"/>
  <c r="M13" i="3"/>
  <c r="N13" i="3" s="1"/>
  <c r="M15" i="3"/>
  <c r="N15" i="3" s="1"/>
  <c r="M17" i="3"/>
  <c r="N17" i="3" s="1"/>
  <c r="M19" i="3"/>
  <c r="N19" i="3" s="1"/>
  <c r="M21" i="3"/>
  <c r="N21" i="3" s="1"/>
  <c r="M23" i="3"/>
  <c r="N23" i="3" s="1"/>
  <c r="M25" i="3"/>
  <c r="N25" i="3" s="1"/>
  <c r="M27" i="3"/>
  <c r="N27" i="3" s="1"/>
  <c r="M29" i="3"/>
  <c r="N29" i="3" s="1"/>
  <c r="M33" i="3"/>
  <c r="N33" i="3" s="1"/>
  <c r="M35" i="3"/>
  <c r="N35" i="3" s="1"/>
  <c r="M37" i="3"/>
  <c r="N37" i="3" s="1"/>
  <c r="M39" i="3"/>
  <c r="N39" i="3" s="1"/>
  <c r="M41" i="3"/>
  <c r="N41" i="3" s="1"/>
  <c r="M43" i="3"/>
  <c r="N43" i="3" s="1"/>
  <c r="M45" i="3"/>
  <c r="N45" i="3" s="1"/>
  <c r="M47" i="3"/>
  <c r="N47" i="3" s="1"/>
  <c r="M49" i="3"/>
  <c r="N49" i="3" s="1"/>
  <c r="M51" i="3"/>
  <c r="N51" i="3" s="1"/>
  <c r="M53" i="3"/>
  <c r="N53" i="3" s="1"/>
  <c r="M57" i="3"/>
  <c r="N57" i="3" s="1"/>
  <c r="M61" i="3"/>
  <c r="N61" i="3" s="1"/>
  <c r="M63" i="3"/>
  <c r="N63" i="3" s="1"/>
  <c r="I66" i="3"/>
  <c r="M66" i="3" s="1"/>
  <c r="N66" i="3" s="1"/>
  <c r="L68" i="3"/>
  <c r="M71" i="3"/>
  <c r="N71" i="3" s="1"/>
  <c r="I74" i="3"/>
  <c r="L76" i="3"/>
  <c r="I82" i="3"/>
  <c r="L84" i="3"/>
  <c r="M87" i="3"/>
  <c r="N87" i="3" s="1"/>
  <c r="I90" i="3"/>
  <c r="L92" i="3"/>
  <c r="I98" i="3"/>
  <c r="M98" i="3" s="1"/>
  <c r="N98" i="3" s="1"/>
  <c r="M103" i="3"/>
  <c r="N103" i="3" s="1"/>
  <c r="L121" i="3"/>
  <c r="R318" i="2"/>
  <c r="L320" i="2"/>
  <c r="U320" i="2" s="1"/>
  <c r="R326" i="2"/>
  <c r="L328" i="2"/>
  <c r="R328" i="2" s="1"/>
  <c r="L5" i="3"/>
  <c r="L7" i="3"/>
  <c r="L9" i="3"/>
  <c r="L11" i="3"/>
  <c r="L13" i="3"/>
  <c r="L15" i="3"/>
  <c r="L17" i="3"/>
  <c r="L19" i="3"/>
  <c r="L21" i="3"/>
  <c r="L23" i="3"/>
  <c r="L25" i="3"/>
  <c r="L27" i="3"/>
  <c r="L29" i="3"/>
  <c r="L31" i="3"/>
  <c r="L33" i="3"/>
  <c r="L35" i="3"/>
  <c r="L37" i="3"/>
  <c r="L39" i="3"/>
  <c r="L41" i="3"/>
  <c r="L43" i="3"/>
  <c r="L45" i="3"/>
  <c r="L47" i="3"/>
  <c r="L49" i="3"/>
  <c r="L51" i="3"/>
  <c r="L53" i="3"/>
  <c r="L55" i="3"/>
  <c r="L57" i="3"/>
  <c r="L59" i="3"/>
  <c r="L61" i="3"/>
  <c r="L63" i="3"/>
  <c r="I69" i="3"/>
  <c r="M69" i="3" s="1"/>
  <c r="N69" i="3" s="1"/>
  <c r="L71" i="3"/>
  <c r="M74" i="3"/>
  <c r="N74" i="3" s="1"/>
  <c r="I77" i="3"/>
  <c r="L79" i="3"/>
  <c r="M82" i="3"/>
  <c r="N82" i="3" s="1"/>
  <c r="I85" i="3"/>
  <c r="M85" i="3" s="1"/>
  <c r="N85" i="3" s="1"/>
  <c r="L87" i="3"/>
  <c r="M90" i="3"/>
  <c r="N90" i="3" s="1"/>
  <c r="I93" i="3"/>
  <c r="M93" i="3" s="1"/>
  <c r="N93" i="3" s="1"/>
  <c r="L95" i="3"/>
  <c r="I101" i="3"/>
  <c r="M106" i="3"/>
  <c r="N106" i="3" s="1"/>
  <c r="I130" i="3"/>
  <c r="I133" i="3"/>
  <c r="M135" i="3"/>
  <c r="N135" i="3" s="1"/>
  <c r="L135" i="3"/>
  <c r="I139" i="3"/>
  <c r="L194" i="3"/>
  <c r="S318" i="2"/>
  <c r="S326" i="2"/>
  <c r="I64" i="3"/>
  <c r="L66" i="3"/>
  <c r="I72" i="3"/>
  <c r="M72" i="3" s="1"/>
  <c r="N72" i="3" s="1"/>
  <c r="L74" i="3"/>
  <c r="M77" i="3"/>
  <c r="N77" i="3" s="1"/>
  <c r="I80" i="3"/>
  <c r="L82" i="3"/>
  <c r="I88" i="3"/>
  <c r="L90" i="3"/>
  <c r="L98" i="3"/>
  <c r="I117" i="3"/>
  <c r="I142" i="3"/>
  <c r="M142" i="3" s="1"/>
  <c r="N142" i="3" s="1"/>
  <c r="M64" i="3"/>
  <c r="N64" i="3" s="1"/>
  <c r="I67" i="3"/>
  <c r="I75" i="3"/>
  <c r="M75" i="3" s="1"/>
  <c r="N75" i="3" s="1"/>
  <c r="M80" i="3"/>
  <c r="N80" i="3" s="1"/>
  <c r="I83" i="3"/>
  <c r="M83" i="3" s="1"/>
  <c r="N83" i="3" s="1"/>
  <c r="I91" i="3"/>
  <c r="M91" i="3" s="1"/>
  <c r="N91" i="3" s="1"/>
  <c r="I99" i="3"/>
  <c r="M104" i="3"/>
  <c r="N104" i="3" s="1"/>
  <c r="I128" i="3"/>
  <c r="L151" i="3"/>
  <c r="I189" i="3"/>
  <c r="M122" i="3"/>
  <c r="N122" i="3" s="1"/>
  <c r="M126" i="3"/>
  <c r="N126" i="3" s="1"/>
  <c r="M130" i="3"/>
  <c r="N130" i="3" s="1"/>
  <c r="M138" i="3"/>
  <c r="N138" i="3" s="1"/>
  <c r="I159" i="3"/>
  <c r="M168" i="3"/>
  <c r="N168" i="3" s="1"/>
  <c r="L168" i="3"/>
  <c r="I173" i="3"/>
  <c r="I178" i="3"/>
  <c r="I204" i="3"/>
  <c r="I318" i="3"/>
  <c r="S332" i="2"/>
  <c r="I157" i="3"/>
  <c r="M157" i="3" s="1"/>
  <c r="N157" i="3" s="1"/>
  <c r="I162" i="3"/>
  <c r="I164" i="3"/>
  <c r="I169" i="3"/>
  <c r="I192" i="3"/>
  <c r="M192" i="3" s="1"/>
  <c r="N192" i="3" s="1"/>
  <c r="I195" i="3"/>
  <c r="I197" i="3"/>
  <c r="M197" i="3" s="1"/>
  <c r="N197" i="3" s="1"/>
  <c r="I200" i="3"/>
  <c r="M207" i="3"/>
  <c r="N207" i="3" s="1"/>
  <c r="L207" i="3"/>
  <c r="M211" i="3"/>
  <c r="N211" i="3" s="1"/>
  <c r="L332" i="2"/>
  <c r="R332" i="2" s="1"/>
  <c r="L120" i="3"/>
  <c r="L125" i="3"/>
  <c r="L129" i="3"/>
  <c r="L132" i="3"/>
  <c r="M137" i="3"/>
  <c r="N137" i="3" s="1"/>
  <c r="L140" i="3"/>
  <c r="L148" i="3"/>
  <c r="L157" i="3"/>
  <c r="I167" i="3"/>
  <c r="L176" i="3"/>
  <c r="L184" i="3"/>
  <c r="I187" i="3"/>
  <c r="L214" i="3"/>
  <c r="M118" i="3"/>
  <c r="N118" i="3" s="1"/>
  <c r="M124" i="3"/>
  <c r="N124" i="3" s="1"/>
  <c r="M128" i="3"/>
  <c r="N128" i="3" s="1"/>
  <c r="M134" i="3"/>
  <c r="N134" i="3" s="1"/>
  <c r="L137" i="3"/>
  <c r="L145" i="3"/>
  <c r="M187" i="3"/>
  <c r="N187" i="3" s="1"/>
  <c r="I190" i="3"/>
  <c r="I215" i="3"/>
  <c r="L218" i="3"/>
  <c r="M117" i="3"/>
  <c r="N117" i="3" s="1"/>
  <c r="M131" i="3"/>
  <c r="N131" i="3" s="1"/>
  <c r="M139" i="3"/>
  <c r="N139" i="3" s="1"/>
  <c r="M160" i="3"/>
  <c r="N160" i="3" s="1"/>
  <c r="L160" i="3"/>
  <c r="I165" i="3"/>
  <c r="I170" i="3"/>
  <c r="I172" i="3"/>
  <c r="I177" i="3"/>
  <c r="I209" i="3"/>
  <c r="M209" i="3" s="1"/>
  <c r="N209" i="3" s="1"/>
  <c r="M215" i="3"/>
  <c r="N215" i="3" s="1"/>
  <c r="L258" i="3"/>
  <c r="M116" i="3"/>
  <c r="N116" i="3" s="1"/>
  <c r="L131" i="3"/>
  <c r="L139" i="3"/>
  <c r="L147" i="3"/>
  <c r="I154" i="3"/>
  <c r="L165" i="3"/>
  <c r="I175" i="3"/>
  <c r="M115" i="3"/>
  <c r="N115" i="3" s="1"/>
  <c r="L116" i="3"/>
  <c r="L123" i="3"/>
  <c r="L127" i="3"/>
  <c r="M133" i="3"/>
  <c r="N133" i="3" s="1"/>
  <c r="L136" i="3"/>
  <c r="L144" i="3"/>
  <c r="L152" i="3"/>
  <c r="I156" i="3"/>
  <c r="I161" i="3"/>
  <c r="I180" i="3"/>
  <c r="I183" i="3"/>
  <c r="I210" i="3"/>
  <c r="M190" i="3"/>
  <c r="N190" i="3" s="1"/>
  <c r="I273" i="3"/>
  <c r="I291" i="3"/>
  <c r="I202" i="3"/>
  <c r="M226" i="3"/>
  <c r="N226" i="3" s="1"/>
  <c r="M230" i="3"/>
  <c r="N230" i="3" s="1"/>
  <c r="M234" i="3"/>
  <c r="N234" i="3" s="1"/>
  <c r="M238" i="3"/>
  <c r="N238" i="3" s="1"/>
  <c r="I247" i="3"/>
  <c r="L266" i="3"/>
  <c r="I270" i="3"/>
  <c r="M270" i="3" s="1"/>
  <c r="N270" i="3" s="1"/>
  <c r="I284" i="3"/>
  <c r="I288" i="3"/>
  <c r="M198" i="3"/>
  <c r="N198" i="3" s="1"/>
  <c r="M203" i="3"/>
  <c r="N203" i="3" s="1"/>
  <c r="M206" i="3"/>
  <c r="N206" i="3" s="1"/>
  <c r="I213" i="3"/>
  <c r="I250" i="3"/>
  <c r="I267" i="3"/>
  <c r="I186" i="3"/>
  <c r="I208" i="3"/>
  <c r="I217" i="3"/>
  <c r="I221" i="3"/>
  <c r="I225" i="3"/>
  <c r="I229" i="3"/>
  <c r="I233" i="3"/>
  <c r="I237" i="3"/>
  <c r="M237" i="3" s="1"/>
  <c r="N237" i="3" s="1"/>
  <c r="I241" i="3"/>
  <c r="I256" i="3"/>
  <c r="I260" i="3"/>
  <c r="L181" i="3"/>
  <c r="L187" i="3"/>
  <c r="L192" i="3"/>
  <c r="L215" i="3"/>
  <c r="L219" i="3"/>
  <c r="M221" i="3"/>
  <c r="N221" i="3" s="1"/>
  <c r="M223" i="3"/>
  <c r="N223" i="3" s="1"/>
  <c r="M225" i="3"/>
  <c r="N225" i="3" s="1"/>
  <c r="M231" i="3"/>
  <c r="N231" i="3" s="1"/>
  <c r="M233" i="3"/>
  <c r="N233" i="3" s="1"/>
  <c r="M235" i="3"/>
  <c r="N235" i="3" s="1"/>
  <c r="M241" i="3"/>
  <c r="N241" i="3" s="1"/>
  <c r="M245" i="3"/>
  <c r="N245" i="3" s="1"/>
  <c r="L245" i="3"/>
  <c r="L256" i="3"/>
  <c r="M260" i="3"/>
  <c r="N260" i="3" s="1"/>
  <c r="L260" i="3"/>
  <c r="L208" i="3"/>
  <c r="I212" i="3"/>
  <c r="L223" i="3"/>
  <c r="L227" i="3"/>
  <c r="L231" i="3"/>
  <c r="L235" i="3"/>
  <c r="L239" i="3"/>
  <c r="L243" i="3"/>
  <c r="I194" i="3"/>
  <c r="I216" i="3"/>
  <c r="I220" i="3"/>
  <c r="I254" i="3"/>
  <c r="I252" i="3"/>
  <c r="I263" i="3"/>
  <c r="M263" i="3" s="1"/>
  <c r="N263" i="3" s="1"/>
  <c r="I266" i="3"/>
  <c r="M266" i="3" s="1"/>
  <c r="N266" i="3" s="1"/>
  <c r="L272" i="3"/>
  <c r="I287" i="3"/>
  <c r="L307" i="3"/>
  <c r="M307" i="3"/>
  <c r="N307" i="3" s="1"/>
  <c r="M247" i="3"/>
  <c r="N247" i="3" s="1"/>
  <c r="I261" i="3"/>
  <c r="I264" i="3"/>
  <c r="L270" i="3"/>
  <c r="I279" i="3"/>
  <c r="I295" i="3"/>
  <c r="M295" i="3" s="1"/>
  <c r="N295" i="3" s="1"/>
  <c r="L222" i="3"/>
  <c r="L226" i="3"/>
  <c r="L230" i="3"/>
  <c r="L234" i="3"/>
  <c r="L238" i="3"/>
  <c r="I244" i="3"/>
  <c r="L247" i="3"/>
  <c r="I251" i="3"/>
  <c r="M251" i="3" s="1"/>
  <c r="N251" i="3" s="1"/>
  <c r="L264" i="3"/>
  <c r="I271" i="3"/>
  <c r="I277" i="3"/>
  <c r="L249" i="3"/>
  <c r="I257" i="3"/>
  <c r="I265" i="3"/>
  <c r="I268" i="3"/>
  <c r="L274" i="3"/>
  <c r="I306" i="3"/>
  <c r="I316" i="3"/>
  <c r="I246" i="3"/>
  <c r="I248" i="3"/>
  <c r="M253" i="3"/>
  <c r="N253" i="3" s="1"/>
  <c r="I255" i="3"/>
  <c r="M259" i="3"/>
  <c r="N259" i="3" s="1"/>
  <c r="I262" i="3"/>
  <c r="M262" i="3" s="1"/>
  <c r="N262" i="3" s="1"/>
  <c r="M268" i="3"/>
  <c r="N268" i="3" s="1"/>
  <c r="L268" i="3"/>
  <c r="I275" i="3"/>
  <c r="I280" i="3"/>
  <c r="I310" i="3"/>
  <c r="I243" i="3"/>
  <c r="M243" i="3" s="1"/>
  <c r="N243" i="3" s="1"/>
  <c r="L253" i="3"/>
  <c r="M255" i="3"/>
  <c r="N255" i="3" s="1"/>
  <c r="L259" i="3"/>
  <c r="L262" i="3"/>
  <c r="I269" i="3"/>
  <c r="I272" i="3"/>
  <c r="M272" i="3" s="1"/>
  <c r="N272" i="3" s="1"/>
  <c r="L303" i="3"/>
  <c r="M303" i="3"/>
  <c r="N303" i="3" s="1"/>
  <c r="I283" i="3"/>
  <c r="L295" i="3"/>
  <c r="I298" i="3"/>
  <c r="I308" i="3"/>
  <c r="I315" i="3"/>
  <c r="I245" i="3"/>
  <c r="I249" i="3"/>
  <c r="I253" i="3"/>
  <c r="I259" i="3"/>
  <c r="L283" i="3"/>
  <c r="M283" i="3"/>
  <c r="N283" i="3" s="1"/>
  <c r="I286" i="3"/>
  <c r="M286" i="3" s="1"/>
  <c r="N286" i="3" s="1"/>
  <c r="I296" i="3"/>
  <c r="I303" i="3"/>
  <c r="L291" i="3"/>
  <c r="M291" i="3"/>
  <c r="N291" i="3" s="1"/>
  <c r="I294" i="3"/>
  <c r="I304" i="3"/>
  <c r="I311" i="3"/>
  <c r="I258" i="3"/>
  <c r="I282" i="3"/>
  <c r="M282" i="3" s="1"/>
  <c r="N282" i="3" s="1"/>
  <c r="I292" i="3"/>
  <c r="I299" i="3"/>
  <c r="M299" i="3" s="1"/>
  <c r="N299" i="3" s="1"/>
  <c r="L311" i="3"/>
  <c r="I314" i="3"/>
  <c r="L299" i="3"/>
  <c r="I302" i="3"/>
  <c r="M302" i="3" s="1"/>
  <c r="N302" i="3" s="1"/>
  <c r="I312" i="3"/>
  <c r="I274" i="3"/>
  <c r="I276" i="3"/>
  <c r="I278" i="3"/>
  <c r="L287" i="3"/>
  <c r="M287" i="3"/>
  <c r="N287" i="3" s="1"/>
  <c r="I290" i="3"/>
  <c r="I300" i="3"/>
  <c r="I307" i="3"/>
  <c r="M316" i="3"/>
  <c r="N316" i="3" s="1"/>
  <c r="M298" i="3"/>
  <c r="N298" i="3" s="1"/>
  <c r="M306" i="3"/>
  <c r="N306" i="3" s="1"/>
  <c r="M314" i="3"/>
  <c r="N314" i="3" s="1"/>
  <c r="M289" i="3"/>
  <c r="N289" i="3" s="1"/>
  <c r="M294" i="3"/>
  <c r="N294" i="3" s="1"/>
  <c r="M318" i="3"/>
  <c r="N318" i="3" s="1"/>
  <c r="M293" i="3"/>
  <c r="N293" i="3" s="1"/>
  <c r="M309" i="3"/>
  <c r="N309" i="3" s="1"/>
  <c r="J58" i="3" l="1"/>
  <c r="O58" i="3" s="1"/>
  <c r="M58" i="3"/>
  <c r="N58" i="3" s="1"/>
  <c r="J147" i="3"/>
  <c r="O147" i="3" s="1"/>
  <c r="M147" i="3"/>
  <c r="N147" i="3" s="1"/>
  <c r="O155" i="3"/>
  <c r="J155" i="3"/>
  <c r="M155" i="3"/>
  <c r="N155" i="3" s="1"/>
  <c r="J239" i="3"/>
  <c r="O239" i="3"/>
  <c r="M239" i="3"/>
  <c r="N239" i="3" s="1"/>
  <c r="J179" i="3"/>
  <c r="O179" i="3" s="1"/>
  <c r="M179" i="3"/>
  <c r="N179" i="3" s="1"/>
  <c r="J199" i="3"/>
  <c r="O199" i="3" s="1"/>
  <c r="M199" i="3"/>
  <c r="N199" i="3" s="1"/>
  <c r="J123" i="3"/>
  <c r="O123" i="3" s="1"/>
  <c r="M123" i="3"/>
  <c r="N123" i="3" s="1"/>
  <c r="J148" i="3"/>
  <c r="O148" i="3" s="1"/>
  <c r="M148" i="3"/>
  <c r="N148" i="3" s="1"/>
  <c r="O150" i="3"/>
  <c r="J150" i="3"/>
  <c r="M150" i="3"/>
  <c r="N150" i="3" s="1"/>
  <c r="J112" i="3"/>
  <c r="O112" i="3"/>
  <c r="M112" i="3"/>
  <c r="N112" i="3" s="1"/>
  <c r="J317" i="3"/>
  <c r="O317" i="3" s="1"/>
  <c r="M317" i="3"/>
  <c r="N317" i="3" s="1"/>
  <c r="J184" i="3"/>
  <c r="O184" i="3" s="1"/>
  <c r="M184" i="3"/>
  <c r="N184" i="3" s="1"/>
  <c r="J127" i="3"/>
  <c r="O127" i="3"/>
  <c r="M127" i="3"/>
  <c r="N127" i="3" s="1"/>
  <c r="J176" i="3"/>
  <c r="O176" i="3" s="1"/>
  <c r="M176" i="3"/>
  <c r="N176" i="3" s="1"/>
  <c r="J242" i="3"/>
  <c r="O242" i="3" s="1"/>
  <c r="M242" i="3"/>
  <c r="N242" i="3" s="1"/>
  <c r="J301" i="3"/>
  <c r="O301" i="3"/>
  <c r="M301" i="3"/>
  <c r="N301" i="3" s="1"/>
  <c r="J109" i="3"/>
  <c r="O109" i="3" s="1"/>
  <c r="M109" i="3"/>
  <c r="N109" i="3" s="1"/>
  <c r="J219" i="3"/>
  <c r="O219" i="3"/>
  <c r="M219" i="3"/>
  <c r="N219" i="3" s="1"/>
  <c r="O188" i="3"/>
  <c r="M188" i="3"/>
  <c r="N188" i="3" s="1"/>
  <c r="J188" i="3"/>
  <c r="J218" i="3"/>
  <c r="O218" i="3"/>
  <c r="M218" i="3"/>
  <c r="N218" i="3" s="1"/>
  <c r="J196" i="3"/>
  <c r="O196" i="3" s="1"/>
  <c r="M196" i="3"/>
  <c r="N196" i="3" s="1"/>
  <c r="J125" i="3"/>
  <c r="O125" i="3" s="1"/>
  <c r="M125" i="3"/>
  <c r="N125" i="3" s="1"/>
  <c r="J319" i="3"/>
  <c r="O319" i="3" s="1"/>
  <c r="M319" i="3"/>
  <c r="N319" i="3" s="1"/>
  <c r="O140" i="3"/>
  <c r="J140" i="3"/>
  <c r="M140" i="3"/>
  <c r="N140" i="3" s="1"/>
  <c r="J56" i="3"/>
  <c r="O56" i="3"/>
  <c r="M56" i="3"/>
  <c r="N56" i="3" s="1"/>
  <c r="J310" i="3"/>
  <c r="O310" i="3" s="1"/>
  <c r="O311" i="3"/>
  <c r="J311" i="3"/>
  <c r="J246" i="3"/>
  <c r="O246" i="3" s="1"/>
  <c r="M246" i="3"/>
  <c r="N246" i="3" s="1"/>
  <c r="J216" i="3"/>
  <c r="O216" i="3"/>
  <c r="M216" i="3"/>
  <c r="N216" i="3" s="1"/>
  <c r="J213" i="3"/>
  <c r="O213" i="3" s="1"/>
  <c r="M213" i="3"/>
  <c r="N213" i="3" s="1"/>
  <c r="J161" i="3"/>
  <c r="O161" i="3" s="1"/>
  <c r="M161" i="3"/>
  <c r="N161" i="3" s="1"/>
  <c r="M172" i="3"/>
  <c r="N172" i="3" s="1"/>
  <c r="J172" i="3"/>
  <c r="O172" i="3" s="1"/>
  <c r="M204" i="3"/>
  <c r="N204" i="3" s="1"/>
  <c r="J204" i="3"/>
  <c r="O204" i="3" s="1"/>
  <c r="J101" i="3"/>
  <c r="O101" i="3" s="1"/>
  <c r="J314" i="3"/>
  <c r="O314" i="3" s="1"/>
  <c r="O304" i="3"/>
  <c r="J304" i="3"/>
  <c r="M304" i="3"/>
  <c r="N304" i="3" s="1"/>
  <c r="J316" i="3"/>
  <c r="O316" i="3"/>
  <c r="J244" i="3"/>
  <c r="O244" i="3"/>
  <c r="M244" i="3"/>
  <c r="N244" i="3" s="1"/>
  <c r="O194" i="3"/>
  <c r="J194" i="3"/>
  <c r="J225" i="3"/>
  <c r="O225" i="3" s="1"/>
  <c r="M202" i="3"/>
  <c r="N202" i="3" s="1"/>
  <c r="J202" i="3"/>
  <c r="O202" i="3" s="1"/>
  <c r="O156" i="3"/>
  <c r="M156" i="3"/>
  <c r="N156" i="3" s="1"/>
  <c r="J156" i="3"/>
  <c r="O170" i="3"/>
  <c r="J170" i="3"/>
  <c r="M170" i="3"/>
  <c r="N170" i="3" s="1"/>
  <c r="J195" i="3"/>
  <c r="O195" i="3"/>
  <c r="M195" i="3"/>
  <c r="N195" i="3" s="1"/>
  <c r="O178" i="3"/>
  <c r="J178" i="3"/>
  <c r="M178" i="3"/>
  <c r="N178" i="3" s="1"/>
  <c r="I96" i="3"/>
  <c r="M194" i="3"/>
  <c r="N194" i="3" s="1"/>
  <c r="J77" i="3"/>
  <c r="O77" i="3"/>
  <c r="J124" i="3"/>
  <c r="O124" i="3"/>
  <c r="J87" i="3"/>
  <c r="O87" i="3"/>
  <c r="R320" i="2"/>
  <c r="O138" i="3"/>
  <c r="J138" i="3"/>
  <c r="R330" i="2"/>
  <c r="J73" i="3"/>
  <c r="O73" i="3"/>
  <c r="J94" i="3"/>
  <c r="O94" i="3"/>
  <c r="S308" i="2"/>
  <c r="J30" i="3"/>
  <c r="O30" i="3" s="1"/>
  <c r="C34" i="4"/>
  <c r="U306" i="2"/>
  <c r="T306" i="2"/>
  <c r="J7" i="3"/>
  <c r="O7" i="3"/>
  <c r="H25" i="4"/>
  <c r="T218" i="2"/>
  <c r="S218" i="2"/>
  <c r="J29" i="3"/>
  <c r="O29" i="3" s="1"/>
  <c r="U315" i="2"/>
  <c r="U224" i="2"/>
  <c r="J51" i="3"/>
  <c r="O51" i="3"/>
  <c r="J41" i="3"/>
  <c r="O41" i="3" s="1"/>
  <c r="J28" i="3"/>
  <c r="O28" i="3" s="1"/>
  <c r="F33" i="4"/>
  <c r="U298" i="2"/>
  <c r="T298" i="2"/>
  <c r="F26" i="4"/>
  <c r="S226" i="2"/>
  <c r="U226" i="2"/>
  <c r="T226" i="2"/>
  <c r="I34" i="3"/>
  <c r="I33" i="4"/>
  <c r="U301" i="2"/>
  <c r="U283" i="2"/>
  <c r="R147" i="2"/>
  <c r="J43" i="3"/>
  <c r="O43" i="3"/>
  <c r="G35" i="4"/>
  <c r="T320" i="2"/>
  <c r="S301" i="2"/>
  <c r="T301" i="2" s="1"/>
  <c r="U198" i="2"/>
  <c r="L28" i="4"/>
  <c r="U252" i="2"/>
  <c r="H22" i="4"/>
  <c r="T187" i="2"/>
  <c r="T155" i="2"/>
  <c r="F16" i="4"/>
  <c r="T123" i="2"/>
  <c r="U28" i="2"/>
  <c r="U123" i="2"/>
  <c r="G23" i="4"/>
  <c r="U196" i="2"/>
  <c r="T196" i="2"/>
  <c r="E20" i="4"/>
  <c r="U164" i="2"/>
  <c r="F17" i="4"/>
  <c r="T132" i="2"/>
  <c r="E12" i="4"/>
  <c r="U80" i="2"/>
  <c r="T80" i="2"/>
  <c r="K26" i="4"/>
  <c r="U231" i="2"/>
  <c r="T231" i="2"/>
  <c r="I17" i="4"/>
  <c r="K24" i="4"/>
  <c r="E33" i="4"/>
  <c r="T297" i="2"/>
  <c r="I19" i="4"/>
  <c r="T237" i="2"/>
  <c r="U237" i="2"/>
  <c r="K34" i="4"/>
  <c r="T313" i="2"/>
  <c r="E26" i="4"/>
  <c r="T225" i="2"/>
  <c r="L13" i="4"/>
  <c r="T98" i="2"/>
  <c r="C20" i="4"/>
  <c r="T162" i="2"/>
  <c r="D28" i="4"/>
  <c r="U245" i="2"/>
  <c r="T245" i="2"/>
  <c r="D19" i="4"/>
  <c r="U153" i="2"/>
  <c r="T153" i="2"/>
  <c r="L25" i="4"/>
  <c r="U222" i="2"/>
  <c r="S222" i="2"/>
  <c r="T222" i="2" s="1"/>
  <c r="J33" i="4"/>
  <c r="U303" i="2"/>
  <c r="T303" i="2"/>
  <c r="J31" i="4"/>
  <c r="T283" i="2"/>
  <c r="J163" i="3"/>
  <c r="O163" i="3" s="1"/>
  <c r="M163" i="3"/>
  <c r="N163" i="3" s="1"/>
  <c r="I227" i="3"/>
  <c r="J232" i="3"/>
  <c r="O232" i="3" s="1"/>
  <c r="M232" i="3"/>
  <c r="N232" i="3" s="1"/>
  <c r="U95" i="2"/>
  <c r="I21" i="4"/>
  <c r="T179" i="2"/>
  <c r="H18" i="4"/>
  <c r="T147" i="2"/>
  <c r="H15" i="4"/>
  <c r="T115" i="2"/>
  <c r="U115" i="2"/>
  <c r="U204" i="2"/>
  <c r="S135" i="2"/>
  <c r="T135" i="2" s="1"/>
  <c r="K11" i="4"/>
  <c r="R46" i="2"/>
  <c r="T46" i="2" s="1"/>
  <c r="R14" i="2"/>
  <c r="T14" i="2" s="1"/>
  <c r="I14" i="4"/>
  <c r="T104" i="2"/>
  <c r="U104" i="2"/>
  <c r="U6" i="2"/>
  <c r="S41" i="2"/>
  <c r="J282" i="3"/>
  <c r="O282" i="3" s="1"/>
  <c r="O290" i="3"/>
  <c r="J290" i="3"/>
  <c r="M290" i="3"/>
  <c r="N290" i="3" s="1"/>
  <c r="O275" i="3"/>
  <c r="J275" i="3"/>
  <c r="M275" i="3"/>
  <c r="N275" i="3" s="1"/>
  <c r="J287" i="3"/>
  <c r="O287" i="3" s="1"/>
  <c r="J229" i="3"/>
  <c r="O229" i="3" s="1"/>
  <c r="M310" i="3"/>
  <c r="N310" i="3" s="1"/>
  <c r="O278" i="3"/>
  <c r="J278" i="3"/>
  <c r="M278" i="3"/>
  <c r="N278" i="3" s="1"/>
  <c r="M311" i="3"/>
  <c r="N311" i="3" s="1"/>
  <c r="O294" i="3"/>
  <c r="J294" i="3"/>
  <c r="J259" i="3"/>
  <c r="O259" i="3"/>
  <c r="O306" i="3"/>
  <c r="J306" i="3"/>
  <c r="O277" i="3"/>
  <c r="J277" i="3"/>
  <c r="M277" i="3"/>
  <c r="N277" i="3" s="1"/>
  <c r="J221" i="3"/>
  <c r="O221" i="3" s="1"/>
  <c r="J291" i="3"/>
  <c r="O291" i="3"/>
  <c r="J165" i="3"/>
  <c r="O165" i="3" s="1"/>
  <c r="J187" i="3"/>
  <c r="O187" i="3"/>
  <c r="O192" i="3"/>
  <c r="J192" i="3"/>
  <c r="J173" i="3"/>
  <c r="O173" i="3" s="1"/>
  <c r="J99" i="3"/>
  <c r="O99" i="3"/>
  <c r="J67" i="3"/>
  <c r="O67" i="3"/>
  <c r="J72" i="3"/>
  <c r="O72" i="3" s="1"/>
  <c r="J139" i="3"/>
  <c r="O139" i="3" s="1"/>
  <c r="J82" i="3"/>
  <c r="O82" i="3"/>
  <c r="J121" i="3"/>
  <c r="O121" i="3" s="1"/>
  <c r="U332" i="2"/>
  <c r="J84" i="3"/>
  <c r="O84" i="3"/>
  <c r="J211" i="3"/>
  <c r="O211" i="3" s="1"/>
  <c r="J17" i="3"/>
  <c r="O17" i="3" s="1"/>
  <c r="H33" i="4"/>
  <c r="T300" i="2"/>
  <c r="F29" i="4"/>
  <c r="U256" i="2"/>
  <c r="U328" i="2"/>
  <c r="I28" i="4"/>
  <c r="U250" i="2"/>
  <c r="T250" i="2"/>
  <c r="S250" i="2"/>
  <c r="J26" i="3"/>
  <c r="O26" i="3"/>
  <c r="J48" i="3"/>
  <c r="O48" i="3" s="1"/>
  <c r="K32" i="4"/>
  <c r="T293" i="2"/>
  <c r="U293" i="2"/>
  <c r="J38" i="3"/>
  <c r="O38" i="3"/>
  <c r="C30" i="4"/>
  <c r="J15" i="3"/>
  <c r="O15" i="3"/>
  <c r="J32" i="4"/>
  <c r="T292" i="2"/>
  <c r="J21" i="3"/>
  <c r="O21" i="3" s="1"/>
  <c r="D31" i="4"/>
  <c r="U277" i="2"/>
  <c r="U118" i="2"/>
  <c r="J40" i="3"/>
  <c r="O40" i="3"/>
  <c r="S232" i="2"/>
  <c r="K21" i="4"/>
  <c r="U181" i="2"/>
  <c r="T181" i="2"/>
  <c r="J18" i="4"/>
  <c r="U149" i="2"/>
  <c r="T149" i="2"/>
  <c r="J15" i="4"/>
  <c r="U117" i="2"/>
  <c r="T117" i="2"/>
  <c r="U72" i="2"/>
  <c r="T72" i="2"/>
  <c r="S72" i="2"/>
  <c r="D14" i="4"/>
  <c r="T100" i="2"/>
  <c r="U77" i="2"/>
  <c r="D9" i="4"/>
  <c r="S252" i="2"/>
  <c r="T252" i="2" s="1"/>
  <c r="S191" i="2"/>
  <c r="S127" i="2"/>
  <c r="F28" i="4"/>
  <c r="U247" i="2"/>
  <c r="T247" i="2"/>
  <c r="T143" i="2"/>
  <c r="G25" i="4"/>
  <c r="T217" i="2"/>
  <c r="F14" i="4"/>
  <c r="T102" i="2"/>
  <c r="G20" i="4"/>
  <c r="T166" i="2"/>
  <c r="C29" i="4"/>
  <c r="T253" i="2"/>
  <c r="U253" i="2"/>
  <c r="C26" i="4"/>
  <c r="U223" i="2"/>
  <c r="T223" i="2"/>
  <c r="J27" i="4"/>
  <c r="T241" i="2"/>
  <c r="K14" i="4"/>
  <c r="T106" i="2"/>
  <c r="T170" i="2"/>
  <c r="L33" i="4"/>
  <c r="T305" i="2"/>
  <c r="L19" i="4"/>
  <c r="U161" i="2"/>
  <c r="T161" i="2"/>
  <c r="G27" i="4"/>
  <c r="S238" i="2"/>
  <c r="T238" i="2" s="1"/>
  <c r="I34" i="4"/>
  <c r="U311" i="2"/>
  <c r="T311" i="2"/>
  <c r="I32" i="4"/>
  <c r="T291" i="2"/>
  <c r="H35" i="4"/>
  <c r="T321" i="2"/>
  <c r="I120" i="3"/>
  <c r="J102" i="3"/>
  <c r="O102" i="3" s="1"/>
  <c r="I110" i="3"/>
  <c r="J231" i="3"/>
  <c r="O231" i="3"/>
  <c r="I236" i="3"/>
  <c r="I285" i="3"/>
  <c r="C19" i="6"/>
  <c r="U136" i="2"/>
  <c r="T136" i="2"/>
  <c r="E24" i="4"/>
  <c r="T205" i="2"/>
  <c r="C21" i="4"/>
  <c r="U173" i="2"/>
  <c r="C18" i="4"/>
  <c r="U141" i="2"/>
  <c r="U106" i="2"/>
  <c r="U82" i="2"/>
  <c r="S53" i="2"/>
  <c r="T53" i="2" s="1"/>
  <c r="S21" i="2"/>
  <c r="U205" i="2"/>
  <c r="C11" i="4"/>
  <c r="T65" i="2"/>
  <c r="D8" i="4"/>
  <c r="T33" i="2"/>
  <c r="U162" i="2"/>
  <c r="U9" i="2"/>
  <c r="H26" i="4"/>
  <c r="U228" i="2"/>
  <c r="T228" i="2"/>
  <c r="S228" i="2"/>
  <c r="K19" i="4"/>
  <c r="U160" i="2"/>
  <c r="T160" i="2"/>
  <c r="U98" i="2"/>
  <c r="R70" i="2"/>
  <c r="T70" i="2" s="1"/>
  <c r="L11" i="4"/>
  <c r="J300" i="3"/>
  <c r="O300" i="3"/>
  <c r="M300" i="3"/>
  <c r="N300" i="3" s="1"/>
  <c r="J315" i="3"/>
  <c r="O315" i="3" s="1"/>
  <c r="J258" i="3"/>
  <c r="O258" i="3"/>
  <c r="M315" i="3"/>
  <c r="N315" i="3" s="1"/>
  <c r="J276" i="3"/>
  <c r="O276" i="3" s="1"/>
  <c r="M276" i="3"/>
  <c r="N276" i="3" s="1"/>
  <c r="J253" i="3"/>
  <c r="O253" i="3" s="1"/>
  <c r="J283" i="3"/>
  <c r="O283" i="3"/>
  <c r="O262" i="3"/>
  <c r="J262" i="3"/>
  <c r="O271" i="3"/>
  <c r="J271" i="3"/>
  <c r="M271" i="3"/>
  <c r="N271" i="3" s="1"/>
  <c r="O264" i="3"/>
  <c r="J264" i="3"/>
  <c r="O266" i="3"/>
  <c r="J266" i="3"/>
  <c r="J260" i="3"/>
  <c r="O260" i="3" s="1"/>
  <c r="J217" i="3"/>
  <c r="M217" i="3"/>
  <c r="N217" i="3" s="1"/>
  <c r="O217" i="3"/>
  <c r="J247" i="3"/>
  <c r="O247" i="3"/>
  <c r="O273" i="3"/>
  <c r="J273" i="3"/>
  <c r="M273" i="3"/>
  <c r="N273" i="3" s="1"/>
  <c r="M258" i="3"/>
  <c r="N258" i="3" s="1"/>
  <c r="J215" i="3"/>
  <c r="O215" i="3" s="1"/>
  <c r="J93" i="3"/>
  <c r="O93" i="3"/>
  <c r="J97" i="3"/>
  <c r="O97" i="3" s="1"/>
  <c r="J86" i="3"/>
  <c r="O86" i="3" s="1"/>
  <c r="J14" i="3"/>
  <c r="O14" i="3" s="1"/>
  <c r="J55" i="3"/>
  <c r="O55" i="3"/>
  <c r="R291" i="2"/>
  <c r="J13" i="3"/>
  <c r="O13" i="3"/>
  <c r="J35" i="3"/>
  <c r="O35" i="3"/>
  <c r="J25" i="3"/>
  <c r="O25" i="3" s="1"/>
  <c r="D35" i="4"/>
  <c r="U317" i="2"/>
  <c r="J12" i="3"/>
  <c r="O12" i="3" s="1"/>
  <c r="U268" i="2"/>
  <c r="J18" i="3"/>
  <c r="O18" i="3" s="1"/>
  <c r="J27" i="3"/>
  <c r="O27" i="3" s="1"/>
  <c r="F32" i="4"/>
  <c r="T288" i="2"/>
  <c r="U288" i="2"/>
  <c r="U218" i="2"/>
  <c r="K13" i="4"/>
  <c r="T97" i="2"/>
  <c r="U97" i="2"/>
  <c r="I11" i="4"/>
  <c r="E28" i="4"/>
  <c r="T246" i="2"/>
  <c r="S246" i="2"/>
  <c r="U186" i="2"/>
  <c r="U122" i="2"/>
  <c r="L29" i="4"/>
  <c r="U263" i="2"/>
  <c r="T263" i="2"/>
  <c r="L18" i="4"/>
  <c r="G26" i="4"/>
  <c r="T227" i="2"/>
  <c r="D15" i="4"/>
  <c r="T110" i="2"/>
  <c r="D21" i="4"/>
  <c r="H30" i="4"/>
  <c r="T269" i="2"/>
  <c r="U269" i="2"/>
  <c r="H27" i="4"/>
  <c r="U239" i="2"/>
  <c r="T239" i="2"/>
  <c r="J28" i="4"/>
  <c r="T251" i="2"/>
  <c r="T114" i="2"/>
  <c r="H21" i="4"/>
  <c r="T178" i="2"/>
  <c r="E35" i="4"/>
  <c r="T318" i="2"/>
  <c r="U318" i="2"/>
  <c r="J20" i="4"/>
  <c r="U169" i="2"/>
  <c r="T169" i="2"/>
  <c r="D29" i="4"/>
  <c r="S254" i="2"/>
  <c r="T254" i="2" s="1"/>
  <c r="F35" i="4"/>
  <c r="U319" i="2"/>
  <c r="T319" i="2"/>
  <c r="G33" i="4"/>
  <c r="T299" i="2"/>
  <c r="T329" i="2"/>
  <c r="J135" i="3"/>
  <c r="O135" i="3" s="1"/>
  <c r="O174" i="3"/>
  <c r="M174" i="3"/>
  <c r="N174" i="3" s="1"/>
  <c r="J174" i="3"/>
  <c r="I136" i="3"/>
  <c r="J103" i="3"/>
  <c r="O103" i="3" s="1"/>
  <c r="I111" i="3"/>
  <c r="J203" i="3"/>
  <c r="O203" i="3"/>
  <c r="J235" i="3"/>
  <c r="O235" i="3" s="1"/>
  <c r="I240" i="3"/>
  <c r="G13" i="4"/>
  <c r="U93" i="2"/>
  <c r="J23" i="4"/>
  <c r="S200" i="2"/>
  <c r="T200" i="2" s="1"/>
  <c r="J14" i="4"/>
  <c r="U105" i="2"/>
  <c r="T105" i="2"/>
  <c r="S80" i="2"/>
  <c r="U199" i="2"/>
  <c r="T199" i="2"/>
  <c r="U110" i="2"/>
  <c r="S93" i="2"/>
  <c r="T93" i="2" s="1"/>
  <c r="F13" i="4"/>
  <c r="U20" i="2"/>
  <c r="U13" i="2"/>
  <c r="J274" i="3"/>
  <c r="O274" i="3" s="1"/>
  <c r="J249" i="3"/>
  <c r="O249" i="3"/>
  <c r="M274" i="3"/>
  <c r="N274" i="3" s="1"/>
  <c r="J261" i="3"/>
  <c r="O261" i="3" s="1"/>
  <c r="M261" i="3"/>
  <c r="N261" i="3" s="1"/>
  <c r="J263" i="3"/>
  <c r="O263" i="3" s="1"/>
  <c r="J256" i="3"/>
  <c r="O256" i="3"/>
  <c r="J208" i="3"/>
  <c r="O208" i="3" s="1"/>
  <c r="M208" i="3"/>
  <c r="N208" i="3" s="1"/>
  <c r="O169" i="3"/>
  <c r="J169" i="3"/>
  <c r="M169" i="3"/>
  <c r="N169" i="3" s="1"/>
  <c r="J189" i="3"/>
  <c r="O189" i="3" s="1"/>
  <c r="J91" i="3"/>
  <c r="O91" i="3" s="1"/>
  <c r="O142" i="3"/>
  <c r="J142" i="3"/>
  <c r="J88" i="3"/>
  <c r="O88" i="3"/>
  <c r="J69" i="3"/>
  <c r="O69" i="3"/>
  <c r="J98" i="3"/>
  <c r="O98" i="3" s="1"/>
  <c r="J79" i="3"/>
  <c r="O79" i="3" s="1"/>
  <c r="J100" i="3"/>
  <c r="O100" i="3"/>
  <c r="M173" i="3"/>
  <c r="N173" i="3" s="1"/>
  <c r="C32" i="4"/>
  <c r="U285" i="2"/>
  <c r="I27" i="4"/>
  <c r="J52" i="3"/>
  <c r="O52" i="3"/>
  <c r="E30" i="4"/>
  <c r="U266" i="2"/>
  <c r="T266" i="2"/>
  <c r="S266" i="2"/>
  <c r="J10" i="3"/>
  <c r="O10" i="3" s="1"/>
  <c r="D33" i="4"/>
  <c r="T296" i="2"/>
  <c r="U296" i="2"/>
  <c r="J32" i="3"/>
  <c r="O32" i="3" s="1"/>
  <c r="J22" i="3"/>
  <c r="O22" i="3"/>
  <c r="G28" i="4"/>
  <c r="L35" i="4"/>
  <c r="U325" i="2"/>
  <c r="K27" i="4"/>
  <c r="S242" i="2"/>
  <c r="U242" i="2"/>
  <c r="T242" i="2"/>
  <c r="J5" i="3"/>
  <c r="O5" i="3"/>
  <c r="J24" i="3"/>
  <c r="O24" i="3"/>
  <c r="I31" i="4"/>
  <c r="U282" i="2"/>
  <c r="T282" i="2"/>
  <c r="L24" i="4"/>
  <c r="U212" i="2"/>
  <c r="T212" i="2"/>
  <c r="S212" i="2"/>
  <c r="I13" i="4"/>
  <c r="T95" i="2"/>
  <c r="S95" i="2"/>
  <c r="F11" i="4"/>
  <c r="G8" i="4"/>
  <c r="E7" i="6"/>
  <c r="L32" i="4"/>
  <c r="T294" i="2"/>
  <c r="J19" i="4"/>
  <c r="T159" i="2"/>
  <c r="C27" i="4"/>
  <c r="T233" i="2"/>
  <c r="K15" i="4"/>
  <c r="L21" i="4"/>
  <c r="H34" i="4"/>
  <c r="T310" i="2"/>
  <c r="S310" i="2"/>
  <c r="E29" i="4"/>
  <c r="U255" i="2"/>
  <c r="T255" i="2"/>
  <c r="G29" i="4"/>
  <c r="T257" i="2"/>
  <c r="E16" i="4"/>
  <c r="T122" i="2"/>
  <c r="G22" i="4"/>
  <c r="T186" i="2"/>
  <c r="G15" i="4"/>
  <c r="U113" i="2"/>
  <c r="T113" i="2"/>
  <c r="G21" i="4"/>
  <c r="U177" i="2"/>
  <c r="T177" i="2"/>
  <c r="I30" i="4"/>
  <c r="S270" i="2"/>
  <c r="T270" i="2" s="1"/>
  <c r="U327" i="2"/>
  <c r="T327" i="2"/>
  <c r="D34" i="4"/>
  <c r="S307" i="2"/>
  <c r="T307" i="2" s="1"/>
  <c r="J226" i="3"/>
  <c r="O226" i="3" s="1"/>
  <c r="I143" i="3"/>
  <c r="J116" i="3"/>
  <c r="O116" i="3"/>
  <c r="I144" i="3"/>
  <c r="J104" i="3"/>
  <c r="O104" i="3"/>
  <c r="O206" i="3"/>
  <c r="J206" i="3"/>
  <c r="O191" i="3"/>
  <c r="J191" i="3"/>
  <c r="M191" i="3"/>
  <c r="N191" i="3" s="1"/>
  <c r="O207" i="3"/>
  <c r="J207" i="3"/>
  <c r="J293" i="3"/>
  <c r="O293" i="3" s="1"/>
  <c r="K29" i="4"/>
  <c r="U261" i="2"/>
  <c r="T261" i="2"/>
  <c r="E22" i="4"/>
  <c r="U184" i="2"/>
  <c r="C16" i="4"/>
  <c r="U120" i="2"/>
  <c r="E13" i="4"/>
  <c r="S256" i="2"/>
  <c r="T256" i="2" s="1"/>
  <c r="S196" i="2"/>
  <c r="S164" i="2"/>
  <c r="T164" i="2" s="1"/>
  <c r="U132" i="2"/>
  <c r="C14" i="4"/>
  <c r="T99" i="2"/>
  <c r="S77" i="2"/>
  <c r="T77" i="2" s="1"/>
  <c r="S45" i="2"/>
  <c r="T45" i="2" s="1"/>
  <c r="U195" i="2"/>
  <c r="D13" i="4"/>
  <c r="T90" i="2"/>
  <c r="F10" i="4"/>
  <c r="C28" i="4"/>
  <c r="U244" i="2"/>
  <c r="T244" i="2"/>
  <c r="I22" i="4"/>
  <c r="U188" i="2"/>
  <c r="T188" i="2"/>
  <c r="F19" i="4"/>
  <c r="U156" i="2"/>
  <c r="T156" i="2"/>
  <c r="G16" i="4"/>
  <c r="T124" i="2"/>
  <c r="H12" i="4"/>
  <c r="N12" i="4" s="1"/>
  <c r="T83" i="2"/>
  <c r="E18" i="4"/>
  <c r="U144" i="2"/>
  <c r="T144" i="2"/>
  <c r="S92" i="2"/>
  <c r="T92" i="2" s="1"/>
  <c r="O296" i="3"/>
  <c r="J296" i="3"/>
  <c r="M296" i="3"/>
  <c r="N296" i="3" s="1"/>
  <c r="J299" i="3"/>
  <c r="O299" i="3" s="1"/>
  <c r="J307" i="3"/>
  <c r="O307" i="3" s="1"/>
  <c r="J312" i="3"/>
  <c r="O312" i="3" s="1"/>
  <c r="M312" i="3"/>
  <c r="N312" i="3" s="1"/>
  <c r="J292" i="3"/>
  <c r="O292" i="3" s="1"/>
  <c r="M292" i="3"/>
  <c r="N292" i="3" s="1"/>
  <c r="O303" i="3"/>
  <c r="J303" i="3"/>
  <c r="J245" i="3"/>
  <c r="O245" i="3"/>
  <c r="J243" i="3"/>
  <c r="O243" i="3"/>
  <c r="J255" i="3"/>
  <c r="O255" i="3" s="1"/>
  <c r="O268" i="3"/>
  <c r="J268" i="3"/>
  <c r="M264" i="3"/>
  <c r="N264" i="3" s="1"/>
  <c r="J252" i="3"/>
  <c r="O252" i="3" s="1"/>
  <c r="M252" i="3"/>
  <c r="N252" i="3" s="1"/>
  <c r="M256" i="3"/>
  <c r="N256" i="3" s="1"/>
  <c r="J241" i="3"/>
  <c r="O241" i="3"/>
  <c r="J186" i="3"/>
  <c r="M186" i="3"/>
  <c r="N186" i="3" s="1"/>
  <c r="O186" i="3"/>
  <c r="M189" i="3"/>
  <c r="N189" i="3" s="1"/>
  <c r="J210" i="3"/>
  <c r="O210" i="3" s="1"/>
  <c r="M210" i="3"/>
  <c r="N210" i="3" s="1"/>
  <c r="O175" i="3"/>
  <c r="J175" i="3"/>
  <c r="M175" i="3"/>
  <c r="N175" i="3" s="1"/>
  <c r="J209" i="3"/>
  <c r="O209" i="3" s="1"/>
  <c r="J190" i="3"/>
  <c r="O190" i="3" s="1"/>
  <c r="M164" i="3"/>
  <c r="N164" i="3" s="1"/>
  <c r="J164" i="3"/>
  <c r="O164" i="3" s="1"/>
  <c r="O159" i="3"/>
  <c r="M159" i="3"/>
  <c r="N159" i="3" s="1"/>
  <c r="J159" i="3"/>
  <c r="M88" i="3"/>
  <c r="N88" i="3" s="1"/>
  <c r="J117" i="3"/>
  <c r="O117" i="3" s="1"/>
  <c r="J64" i="3"/>
  <c r="O64" i="3" s="1"/>
  <c r="J133" i="3"/>
  <c r="O133" i="3" s="1"/>
  <c r="J74" i="3"/>
  <c r="O74" i="3"/>
  <c r="M55" i="3"/>
  <c r="N55" i="3" s="1"/>
  <c r="M153" i="3"/>
  <c r="N153" i="3" s="1"/>
  <c r="J153" i="3"/>
  <c r="O153" i="3" s="1"/>
  <c r="M97" i="3"/>
  <c r="N97" i="3" s="1"/>
  <c r="J76" i="3"/>
  <c r="O76" i="3" s="1"/>
  <c r="J89" i="3"/>
  <c r="O89" i="3" s="1"/>
  <c r="J137" i="3"/>
  <c r="O137" i="3" s="1"/>
  <c r="J78" i="3"/>
  <c r="O78" i="3" s="1"/>
  <c r="M22" i="3"/>
  <c r="N22" i="3" s="1"/>
  <c r="I65" i="3"/>
  <c r="T328" i="2"/>
  <c r="C31" i="4"/>
  <c r="J39" i="3"/>
  <c r="O39" i="3" s="1"/>
  <c r="G34" i="4"/>
  <c r="T309" i="2"/>
  <c r="U309" i="2"/>
  <c r="H32" i="4"/>
  <c r="U290" i="2"/>
  <c r="T290" i="2"/>
  <c r="R260" i="2"/>
  <c r="J19" i="3"/>
  <c r="O19" i="3" s="1"/>
  <c r="S240" i="2"/>
  <c r="T240" i="2" s="1"/>
  <c r="J9" i="3"/>
  <c r="O9" i="3"/>
  <c r="G31" i="4"/>
  <c r="T280" i="2"/>
  <c r="U280" i="2"/>
  <c r="F25" i="4"/>
  <c r="T216" i="2"/>
  <c r="J63" i="3"/>
  <c r="O63" i="3" s="1"/>
  <c r="I35" i="4"/>
  <c r="T322" i="2"/>
  <c r="S330" i="2"/>
  <c r="T330" i="2" s="1"/>
  <c r="R163" i="2"/>
  <c r="J11" i="3"/>
  <c r="O11" i="3"/>
  <c r="S277" i="2"/>
  <c r="T277" i="2" s="1"/>
  <c r="K20" i="4"/>
  <c r="T171" i="2"/>
  <c r="K17" i="4"/>
  <c r="T139" i="2"/>
  <c r="E11" i="4"/>
  <c r="U68" i="2"/>
  <c r="T68" i="2"/>
  <c r="U187" i="2"/>
  <c r="J21" i="4"/>
  <c r="U180" i="2"/>
  <c r="I18" i="4"/>
  <c r="U148" i="2"/>
  <c r="I15" i="4"/>
  <c r="T116" i="2"/>
  <c r="H14" i="4"/>
  <c r="H20" i="4"/>
  <c r="T167" i="2"/>
  <c r="L27" i="4"/>
  <c r="T243" i="2"/>
  <c r="J16" i="4"/>
  <c r="T126" i="2"/>
  <c r="K22" i="4"/>
  <c r="T190" i="2"/>
  <c r="K23" i="4"/>
  <c r="T201" i="2"/>
  <c r="U271" i="2"/>
  <c r="T271" i="2"/>
  <c r="F30" i="4"/>
  <c r="T267" i="2"/>
  <c r="D17" i="4"/>
  <c r="T130" i="2"/>
  <c r="E23" i="4"/>
  <c r="T194" i="2"/>
  <c r="D16" i="4"/>
  <c r="U121" i="2"/>
  <c r="T121" i="2"/>
  <c r="F22" i="4"/>
  <c r="U185" i="2"/>
  <c r="T185" i="2"/>
  <c r="H31" i="4"/>
  <c r="T281" i="2"/>
  <c r="C35" i="4"/>
  <c r="S315" i="2"/>
  <c r="T315" i="2" s="1"/>
  <c r="I151" i="3"/>
  <c r="I152" i="3"/>
  <c r="I105" i="3"/>
  <c r="J113" i="3"/>
  <c r="O113" i="3"/>
  <c r="I222" i="3"/>
  <c r="I185" i="3"/>
  <c r="I297" i="3"/>
  <c r="I281" i="3"/>
  <c r="U251" i="2"/>
  <c r="S174" i="2"/>
  <c r="T174" i="2" s="1"/>
  <c r="S28" i="2"/>
  <c r="T28" i="2" s="1"/>
  <c r="F23" i="4"/>
  <c r="T195" i="2"/>
  <c r="D20" i="4"/>
  <c r="T163" i="2"/>
  <c r="E17" i="4"/>
  <c r="T131" i="2"/>
  <c r="J13" i="4"/>
  <c r="T96" i="2"/>
  <c r="U96" i="2"/>
  <c r="S73" i="2"/>
  <c r="T73" i="2" s="1"/>
  <c r="I7" i="4"/>
  <c r="U179" i="2"/>
  <c r="L6" i="4"/>
  <c r="T17" i="2"/>
  <c r="R241" i="2"/>
  <c r="S151" i="2"/>
  <c r="T151" i="2" s="1"/>
  <c r="R62" i="2"/>
  <c r="T62" i="2" s="1"/>
  <c r="R30" i="2"/>
  <c r="T30" i="2" s="1"/>
  <c r="U90" i="2"/>
  <c r="S83" i="2"/>
  <c r="S75" i="2"/>
  <c r="T75" i="2" s="1"/>
  <c r="S91" i="2"/>
  <c r="T91" i="2" s="1"/>
  <c r="J272" i="3"/>
  <c r="O272" i="3" s="1"/>
  <c r="J251" i="3"/>
  <c r="O251" i="3" s="1"/>
  <c r="J254" i="3"/>
  <c r="O254" i="3" s="1"/>
  <c r="M254" i="3"/>
  <c r="N254" i="3" s="1"/>
  <c r="J237" i="3"/>
  <c r="O237" i="3" s="1"/>
  <c r="O267" i="3"/>
  <c r="J267" i="3"/>
  <c r="M267" i="3"/>
  <c r="N267" i="3" s="1"/>
  <c r="O288" i="3"/>
  <c r="J288" i="3"/>
  <c r="M288" i="3"/>
  <c r="N288" i="3" s="1"/>
  <c r="O183" i="3"/>
  <c r="M183" i="3"/>
  <c r="N183" i="3" s="1"/>
  <c r="J183" i="3"/>
  <c r="O162" i="3"/>
  <c r="J162" i="3"/>
  <c r="M162" i="3"/>
  <c r="N162" i="3" s="1"/>
  <c r="J83" i="3"/>
  <c r="O83" i="3"/>
  <c r="O130" i="3"/>
  <c r="J130" i="3"/>
  <c r="J85" i="3"/>
  <c r="O85" i="3" s="1"/>
  <c r="J95" i="3"/>
  <c r="O95" i="3"/>
  <c r="J134" i="3"/>
  <c r="O134" i="3" s="1"/>
  <c r="O131" i="3"/>
  <c r="J131" i="3"/>
  <c r="J49" i="3"/>
  <c r="O49" i="3" s="1"/>
  <c r="K35" i="4"/>
  <c r="U324" i="2"/>
  <c r="J36" i="3"/>
  <c r="O36" i="3" s="1"/>
  <c r="S285" i="2"/>
  <c r="T285" i="2" s="1"/>
  <c r="D27" i="4"/>
  <c r="T234" i="2"/>
  <c r="S234" i="2"/>
  <c r="J61" i="3"/>
  <c r="O61" i="3" s="1"/>
  <c r="K31" i="4"/>
  <c r="T284" i="2"/>
  <c r="J16" i="3"/>
  <c r="O16" i="3"/>
  <c r="J6" i="3"/>
  <c r="O6" i="3" s="1"/>
  <c r="U302" i="2"/>
  <c r="U278" i="2"/>
  <c r="J47" i="3"/>
  <c r="O47" i="3" s="1"/>
  <c r="S317" i="2"/>
  <c r="T317" i="2" s="1"/>
  <c r="S210" i="2"/>
  <c r="T210" i="2" s="1"/>
  <c r="U210" i="2"/>
  <c r="J53" i="3"/>
  <c r="O53" i="3" s="1"/>
  <c r="U322" i="2"/>
  <c r="R131" i="2"/>
  <c r="J8" i="3"/>
  <c r="O8" i="3"/>
  <c r="S264" i="2"/>
  <c r="T264" i="2" s="1"/>
  <c r="L23" i="4"/>
  <c r="U202" i="2"/>
  <c r="T202" i="2"/>
  <c r="G30" i="4"/>
  <c r="T268" i="2"/>
  <c r="H23" i="4"/>
  <c r="U197" i="2"/>
  <c r="T197" i="2"/>
  <c r="F20" i="4"/>
  <c r="U165" i="2"/>
  <c r="T165" i="2"/>
  <c r="G17" i="4"/>
  <c r="U133" i="2"/>
  <c r="T133" i="2"/>
  <c r="L14" i="4"/>
  <c r="T108" i="2"/>
  <c r="C13" i="4"/>
  <c r="T89" i="2"/>
  <c r="U89" i="2"/>
  <c r="H10" i="4"/>
  <c r="M10" i="4" s="1"/>
  <c r="U60" i="2"/>
  <c r="T60" i="2"/>
  <c r="I10" i="4"/>
  <c r="K7" i="4"/>
  <c r="U108" i="2"/>
  <c r="D6" i="4"/>
  <c r="M6" i="4" s="1"/>
  <c r="E15" i="4"/>
  <c r="T111" i="2"/>
  <c r="E21" i="4"/>
  <c r="T175" i="2"/>
  <c r="H28" i="4"/>
  <c r="T249" i="2"/>
  <c r="H17" i="4"/>
  <c r="T134" i="2"/>
  <c r="I23" i="4"/>
  <c r="T198" i="2"/>
  <c r="T262" i="2"/>
  <c r="S262" i="2"/>
  <c r="K30" i="4"/>
  <c r="T273" i="2"/>
  <c r="E31" i="4"/>
  <c r="T278" i="2"/>
  <c r="T138" i="2"/>
  <c r="D24" i="4"/>
  <c r="T204" i="2"/>
  <c r="C17" i="4"/>
  <c r="U129" i="2"/>
  <c r="T129" i="2"/>
  <c r="D23" i="4"/>
  <c r="U193" i="2"/>
  <c r="T193" i="2"/>
  <c r="F31" i="4"/>
  <c r="U279" i="2"/>
  <c r="T279" i="2"/>
  <c r="O171" i="3"/>
  <c r="J171" i="3"/>
  <c r="M171" i="3"/>
  <c r="N171" i="3" s="1"/>
  <c r="J35" i="4"/>
  <c r="I166" i="3"/>
  <c r="I182" i="3"/>
  <c r="I158" i="3"/>
  <c r="J106" i="3"/>
  <c r="O106" i="3" s="1"/>
  <c r="I114" i="3"/>
  <c r="I146" i="3"/>
  <c r="I201" i="3"/>
  <c r="I305" i="3"/>
  <c r="I313" i="3"/>
  <c r="U246" i="2"/>
  <c r="I20" i="4"/>
  <c r="U168" i="2"/>
  <c r="T168" i="2"/>
  <c r="J25" i="4"/>
  <c r="U220" i="2"/>
  <c r="J22" i="4"/>
  <c r="U189" i="2"/>
  <c r="T189" i="2"/>
  <c r="G19" i="4"/>
  <c r="U157" i="2"/>
  <c r="T157" i="2"/>
  <c r="H16" i="4"/>
  <c r="U125" i="2"/>
  <c r="T125" i="2"/>
  <c r="S69" i="2"/>
  <c r="T69" i="2" s="1"/>
  <c r="S37" i="2"/>
  <c r="T37" i="2" s="1"/>
  <c r="J29" i="4"/>
  <c r="T260" i="2"/>
  <c r="U102" i="2"/>
  <c r="H11" i="4"/>
  <c r="T71" i="2"/>
  <c r="H9" i="4"/>
  <c r="T9" i="2"/>
  <c r="U178" i="2"/>
  <c r="U114" i="2"/>
  <c r="D12" i="4"/>
  <c r="T79" i="2"/>
  <c r="U57" i="2"/>
  <c r="U270" i="2"/>
  <c r="C23" i="4"/>
  <c r="U192" i="2"/>
  <c r="T192" i="2"/>
  <c r="L16" i="4"/>
  <c r="U128" i="2"/>
  <c r="T128" i="2"/>
  <c r="U73" i="2"/>
  <c r="J7" i="4"/>
  <c r="J286" i="3"/>
  <c r="O286" i="3" s="1"/>
  <c r="J308" i="3"/>
  <c r="O308" i="3" s="1"/>
  <c r="M308" i="3"/>
  <c r="N308" i="3" s="1"/>
  <c r="O269" i="3"/>
  <c r="J269" i="3"/>
  <c r="M269" i="3"/>
  <c r="N269" i="3" s="1"/>
  <c r="J280" i="3"/>
  <c r="O280" i="3" s="1"/>
  <c r="M280" i="3"/>
  <c r="N280" i="3" s="1"/>
  <c r="J248" i="3"/>
  <c r="O248" i="3"/>
  <c r="M248" i="3"/>
  <c r="N248" i="3" s="1"/>
  <c r="J257" i="3"/>
  <c r="O257" i="3" s="1"/>
  <c r="M257" i="3"/>
  <c r="N257" i="3" s="1"/>
  <c r="M249" i="3"/>
  <c r="N249" i="3" s="1"/>
  <c r="O295" i="3"/>
  <c r="J295" i="3"/>
  <c r="J220" i="3"/>
  <c r="O220" i="3" s="1"/>
  <c r="M220" i="3"/>
  <c r="N220" i="3" s="1"/>
  <c r="J233" i="3"/>
  <c r="O233" i="3" s="1"/>
  <c r="J250" i="3"/>
  <c r="O250" i="3" s="1"/>
  <c r="M250" i="3"/>
  <c r="N250" i="3" s="1"/>
  <c r="J284" i="3"/>
  <c r="O284" i="3" s="1"/>
  <c r="M284" i="3"/>
  <c r="N284" i="3" s="1"/>
  <c r="M180" i="3"/>
  <c r="N180" i="3" s="1"/>
  <c r="J180" i="3"/>
  <c r="O180" i="3" s="1"/>
  <c r="M165" i="3"/>
  <c r="N165" i="3" s="1"/>
  <c r="J177" i="3"/>
  <c r="O177" i="3" s="1"/>
  <c r="M177" i="3"/>
  <c r="N177" i="3" s="1"/>
  <c r="O167" i="3"/>
  <c r="M167" i="3"/>
  <c r="N167" i="3" s="1"/>
  <c r="J167" i="3"/>
  <c r="J200" i="3"/>
  <c r="O200" i="3" s="1"/>
  <c r="M200" i="3"/>
  <c r="N200" i="3" s="1"/>
  <c r="O157" i="3"/>
  <c r="J157" i="3"/>
  <c r="J318" i="3"/>
  <c r="O318" i="3" s="1"/>
  <c r="J128" i="3"/>
  <c r="O128" i="3"/>
  <c r="M101" i="3"/>
  <c r="N101" i="3" s="1"/>
  <c r="J80" i="3"/>
  <c r="O80" i="3"/>
  <c r="J90" i="3"/>
  <c r="O90" i="3" s="1"/>
  <c r="J71" i="3"/>
  <c r="O71" i="3" s="1"/>
  <c r="I92" i="3"/>
  <c r="J68" i="3"/>
  <c r="O68" i="3" s="1"/>
  <c r="J126" i="3"/>
  <c r="O126" i="3" s="1"/>
  <c r="J81" i="3"/>
  <c r="O81" i="3"/>
  <c r="J70" i="3"/>
  <c r="O70" i="3"/>
  <c r="S324" i="2"/>
  <c r="T324" i="2" s="1"/>
  <c r="J46" i="3"/>
  <c r="O46" i="3"/>
  <c r="T274" i="2"/>
  <c r="U274" i="2"/>
  <c r="D26" i="4"/>
  <c r="T224" i="2"/>
  <c r="J23" i="3"/>
  <c r="O23" i="3" s="1"/>
  <c r="J45" i="3"/>
  <c r="O45" i="3"/>
  <c r="S276" i="2"/>
  <c r="T276" i="2" s="1"/>
  <c r="L34" i="4"/>
  <c r="U314" i="2"/>
  <c r="T314" i="2"/>
  <c r="J57" i="3"/>
  <c r="O57" i="3" s="1"/>
  <c r="T331" i="2"/>
  <c r="U331" i="2"/>
  <c r="J44" i="3"/>
  <c r="O44" i="3" s="1"/>
  <c r="H29" i="4"/>
  <c r="S258" i="2"/>
  <c r="U258" i="2"/>
  <c r="T258" i="2"/>
  <c r="J50" i="3"/>
  <c r="O50" i="3"/>
  <c r="T316" i="2"/>
  <c r="S325" i="2"/>
  <c r="T325" i="2" s="1"/>
  <c r="U264" i="2"/>
  <c r="K12" i="4"/>
  <c r="T87" i="2"/>
  <c r="S87" i="2"/>
  <c r="U52" i="2"/>
  <c r="T52" i="2"/>
  <c r="I12" i="4"/>
  <c r="S84" i="2"/>
  <c r="T84" i="2" s="1"/>
  <c r="F24" i="4"/>
  <c r="U206" i="2"/>
  <c r="T206" i="2"/>
  <c r="U170" i="2"/>
  <c r="U138" i="2"/>
  <c r="T107" i="2"/>
  <c r="L15" i="4"/>
  <c r="T119" i="2"/>
  <c r="D22" i="4"/>
  <c r="T183" i="2"/>
  <c r="I29" i="4"/>
  <c r="T259" i="2"/>
  <c r="D18" i="4"/>
  <c r="T142" i="2"/>
  <c r="G24" i="4"/>
  <c r="T207" i="2"/>
  <c r="U207" i="2"/>
  <c r="L30" i="4"/>
  <c r="T275" i="2"/>
  <c r="G32" i="4"/>
  <c r="T289" i="2"/>
  <c r="T302" i="2"/>
  <c r="G18" i="4"/>
  <c r="T146" i="2"/>
  <c r="C25" i="4"/>
  <c r="U213" i="2"/>
  <c r="T213" i="2"/>
  <c r="J17" i="4"/>
  <c r="U137" i="2"/>
  <c r="T137" i="2"/>
  <c r="C24" i="4"/>
  <c r="U203" i="2"/>
  <c r="T203" i="2"/>
  <c r="E32" i="4"/>
  <c r="U287" i="2"/>
  <c r="T287" i="2"/>
  <c r="I129" i="3"/>
  <c r="T332" i="2"/>
  <c r="I60" i="3"/>
  <c r="I145" i="3"/>
  <c r="J230" i="3"/>
  <c r="O230" i="3" s="1"/>
  <c r="M193" i="3"/>
  <c r="N193" i="3" s="1"/>
  <c r="J193" i="3"/>
  <c r="O193" i="3" s="1"/>
  <c r="J107" i="3"/>
  <c r="O107" i="3"/>
  <c r="J122" i="3"/>
  <c r="O122" i="3"/>
  <c r="J234" i="3"/>
  <c r="O234" i="3" s="1"/>
  <c r="I205" i="3"/>
  <c r="O160" i="3"/>
  <c r="J160" i="3"/>
  <c r="I224" i="3"/>
  <c r="J289" i="3"/>
  <c r="O289" i="3" s="1"/>
  <c r="E6" i="4"/>
  <c r="U7" i="2"/>
  <c r="T7" i="2"/>
  <c r="F27" i="4"/>
  <c r="U236" i="2"/>
  <c r="T236" i="2"/>
  <c r="S158" i="2"/>
  <c r="T158" i="2" s="1"/>
  <c r="S103" i="2"/>
  <c r="T103" i="2" s="1"/>
  <c r="U84" i="2"/>
  <c r="S52" i="2"/>
  <c r="F6" i="4"/>
  <c r="U8" i="2"/>
  <c r="C20" i="6" s="1"/>
  <c r="C22" i="6" s="1"/>
  <c r="T8" i="2"/>
  <c r="D25" i="4"/>
  <c r="S214" i="2"/>
  <c r="T214" i="2" s="1"/>
  <c r="S184" i="2"/>
  <c r="T184" i="2" s="1"/>
  <c r="S120" i="2"/>
  <c r="T120" i="2" s="1"/>
  <c r="U91" i="2"/>
  <c r="S236" i="2"/>
  <c r="S6" i="2"/>
  <c r="T6" i="2" s="1"/>
  <c r="S220" i="2"/>
  <c r="T220" i="2" s="1"/>
  <c r="S173" i="2"/>
  <c r="T173" i="2" s="1"/>
  <c r="S141" i="2"/>
  <c r="T141" i="2" s="1"/>
  <c r="C15" i="4"/>
  <c r="U109" i="2"/>
  <c r="T109" i="2"/>
  <c r="U78" i="2"/>
  <c r="R54" i="2"/>
  <c r="T54" i="2" s="1"/>
  <c r="U254" i="2"/>
  <c r="S182" i="2"/>
  <c r="T182" i="2" s="1"/>
  <c r="S118" i="2"/>
  <c r="T118" i="2" s="1"/>
  <c r="S57" i="2"/>
  <c r="T57" i="2" s="1"/>
  <c r="S25" i="2"/>
  <c r="T25" i="2" s="1"/>
  <c r="U61" i="2"/>
  <c r="J302" i="3"/>
  <c r="O302" i="3" s="1"/>
  <c r="O265" i="3"/>
  <c r="J265" i="3"/>
  <c r="M265" i="3"/>
  <c r="N265" i="3" s="1"/>
  <c r="O298" i="3"/>
  <c r="J298" i="3"/>
  <c r="O279" i="3"/>
  <c r="M279" i="3"/>
  <c r="N279" i="3" s="1"/>
  <c r="J279" i="3"/>
  <c r="J212" i="3"/>
  <c r="O212" i="3" s="1"/>
  <c r="M212" i="3"/>
  <c r="N212" i="3" s="1"/>
  <c r="M229" i="3"/>
  <c r="N229" i="3" s="1"/>
  <c r="O270" i="3"/>
  <c r="J270" i="3"/>
  <c r="O154" i="3"/>
  <c r="J154" i="3"/>
  <c r="M154" i="3"/>
  <c r="N154" i="3" s="1"/>
  <c r="O197" i="3"/>
  <c r="J197" i="3"/>
  <c r="J75" i="3"/>
  <c r="O75" i="3" s="1"/>
  <c r="J66" i="3"/>
  <c r="O66" i="3"/>
  <c r="J181" i="3"/>
  <c r="O181" i="3" s="1"/>
  <c r="O141" i="3"/>
  <c r="J141" i="3"/>
  <c r="O118" i="3"/>
  <c r="J118" i="3"/>
  <c r="J33" i="3"/>
  <c r="O33" i="3"/>
  <c r="J34" i="4"/>
  <c r="T312" i="2"/>
  <c r="U312" i="2"/>
  <c r="J30" i="4"/>
  <c r="T272" i="2"/>
  <c r="S272" i="2"/>
  <c r="J20" i="3"/>
  <c r="O20" i="3"/>
  <c r="J42" i="3"/>
  <c r="O42" i="3"/>
  <c r="E34" i="4"/>
  <c r="T308" i="2"/>
  <c r="J54" i="3"/>
  <c r="O54" i="3" s="1"/>
  <c r="L26" i="4"/>
  <c r="T232" i="2"/>
  <c r="J31" i="3"/>
  <c r="O31" i="3"/>
  <c r="K33" i="4"/>
  <c r="T304" i="2"/>
  <c r="U304" i="2"/>
  <c r="J37" i="3"/>
  <c r="O37" i="3" s="1"/>
  <c r="I59" i="3"/>
  <c r="S248" i="2"/>
  <c r="T248" i="2" s="1"/>
  <c r="C9" i="4"/>
  <c r="U44" i="2"/>
  <c r="T44" i="2"/>
  <c r="K9" i="4"/>
  <c r="F7" i="4"/>
  <c r="N7" i="4" s="1"/>
  <c r="T21" i="2"/>
  <c r="G12" i="4"/>
  <c r="T82" i="2"/>
  <c r="E25" i="4"/>
  <c r="U215" i="2"/>
  <c r="T215" i="2"/>
  <c r="K16" i="4"/>
  <c r="T127" i="2"/>
  <c r="L22" i="4"/>
  <c r="T191" i="2"/>
  <c r="D30" i="4"/>
  <c r="T265" i="2"/>
  <c r="K18" i="4"/>
  <c r="T150" i="2"/>
  <c r="K25" i="4"/>
  <c r="T221" i="2"/>
  <c r="U221" i="2"/>
  <c r="D32" i="4"/>
  <c r="T286" i="2"/>
  <c r="S286" i="2"/>
  <c r="I24" i="4"/>
  <c r="T209" i="2"/>
  <c r="T326" i="2"/>
  <c r="U326" i="2"/>
  <c r="E19" i="4"/>
  <c r="T154" i="2"/>
  <c r="I26" i="4"/>
  <c r="U229" i="2"/>
  <c r="T229" i="2"/>
  <c r="F18" i="4"/>
  <c r="U145" i="2"/>
  <c r="T145" i="2"/>
  <c r="H24" i="4"/>
  <c r="S208" i="2"/>
  <c r="T208" i="2" s="1"/>
  <c r="C33" i="4"/>
  <c r="U295" i="2"/>
  <c r="T295" i="2"/>
  <c r="I132" i="3"/>
  <c r="I119" i="3"/>
  <c r="I62" i="3"/>
  <c r="J238" i="3"/>
  <c r="O238" i="3"/>
  <c r="J115" i="3"/>
  <c r="O115" i="3" s="1"/>
  <c r="J198" i="3"/>
  <c r="O198" i="3" s="1"/>
  <c r="J108" i="3"/>
  <c r="O108" i="3"/>
  <c r="I149" i="3"/>
  <c r="I214" i="3"/>
  <c r="J223" i="3"/>
  <c r="O223" i="3" s="1"/>
  <c r="J168" i="3"/>
  <c r="O168" i="3" s="1"/>
  <c r="J228" i="3"/>
  <c r="O228" i="3"/>
  <c r="M228" i="3"/>
  <c r="N228" i="3" s="1"/>
  <c r="J309" i="3"/>
  <c r="O309" i="3" s="1"/>
  <c r="J26" i="4"/>
  <c r="S230" i="2"/>
  <c r="T230" i="2" s="1"/>
  <c r="C19" i="4"/>
  <c r="U152" i="2"/>
  <c r="T152" i="2"/>
  <c r="U100" i="2"/>
  <c r="S211" i="2"/>
  <c r="T211" i="2" s="1"/>
  <c r="S180" i="2"/>
  <c r="T180" i="2" s="1"/>
  <c r="S148" i="2"/>
  <c r="T148" i="2" s="1"/>
  <c r="L12" i="4"/>
  <c r="T88" i="2"/>
  <c r="U88" i="2"/>
  <c r="S61" i="2"/>
  <c r="T61" i="2" s="1"/>
  <c r="S29" i="2"/>
  <c r="T29" i="2" s="1"/>
  <c r="E27" i="4"/>
  <c r="T235" i="2"/>
  <c r="J8" i="4"/>
  <c r="N8" i="4" s="1"/>
  <c r="T41" i="2"/>
  <c r="S323" i="2"/>
  <c r="T323" i="2" s="1"/>
  <c r="I25" i="4"/>
  <c r="T219" i="2"/>
  <c r="L20" i="4"/>
  <c r="U172" i="2"/>
  <c r="T172" i="2"/>
  <c r="L17" i="4"/>
  <c r="U140" i="2"/>
  <c r="T140" i="2"/>
  <c r="E14" i="4"/>
  <c r="U101" i="2"/>
  <c r="T101" i="2"/>
  <c r="U240" i="2"/>
  <c r="F21" i="4"/>
  <c r="U176" i="2"/>
  <c r="T176" i="2"/>
  <c r="F15" i="4"/>
  <c r="U112" i="2"/>
  <c r="T112" i="2"/>
  <c r="U45" i="2"/>
  <c r="S49" i="2"/>
  <c r="T49" i="2" s="1"/>
  <c r="J92" i="3" l="1"/>
  <c r="O92" i="3" s="1"/>
  <c r="M92" i="3"/>
  <c r="N92" i="3" s="1"/>
  <c r="J114" i="3"/>
  <c r="O114" i="3"/>
  <c r="M114" i="3"/>
  <c r="N114" i="3" s="1"/>
  <c r="E15" i="6"/>
  <c r="N33" i="4"/>
  <c r="M33" i="4"/>
  <c r="N10" i="4"/>
  <c r="O10" i="4" s="1"/>
  <c r="N15" i="4"/>
  <c r="M15" i="4"/>
  <c r="O146" i="3"/>
  <c r="J146" i="3"/>
  <c r="M146" i="3"/>
  <c r="N146" i="3" s="1"/>
  <c r="J105" i="3"/>
  <c r="O105" i="3" s="1"/>
  <c r="M105" i="3"/>
  <c r="N105" i="3" s="1"/>
  <c r="M31" i="4"/>
  <c r="N31" i="4"/>
  <c r="O144" i="3"/>
  <c r="J144" i="3"/>
  <c r="M144" i="3"/>
  <c r="N144" i="3" s="1"/>
  <c r="C38" i="4"/>
  <c r="D6" i="6" s="1"/>
  <c r="J236" i="3"/>
  <c r="O236" i="3"/>
  <c r="M236" i="3"/>
  <c r="N236" i="3" s="1"/>
  <c r="N29" i="4"/>
  <c r="M29" i="4"/>
  <c r="O29" i="4" s="1"/>
  <c r="J227" i="3"/>
  <c r="O227" i="3"/>
  <c r="M227" i="3"/>
  <c r="N227" i="3" s="1"/>
  <c r="J149" i="3"/>
  <c r="O149" i="3" s="1"/>
  <c r="M149" i="3"/>
  <c r="N149" i="3" s="1"/>
  <c r="J145" i="3"/>
  <c r="O145" i="3" s="1"/>
  <c r="M145" i="3"/>
  <c r="N145" i="3" s="1"/>
  <c r="J281" i="3"/>
  <c r="O281" i="3" s="1"/>
  <c r="M281" i="3"/>
  <c r="N281" i="3" s="1"/>
  <c r="O151" i="3"/>
  <c r="J151" i="3"/>
  <c r="M151" i="3"/>
  <c r="N151" i="3" s="1"/>
  <c r="J65" i="3"/>
  <c r="O65" i="3" s="1"/>
  <c r="M65" i="3"/>
  <c r="N65" i="3" s="1"/>
  <c r="C40" i="4"/>
  <c r="J34" i="3"/>
  <c r="O34" i="3"/>
  <c r="M34" i="3"/>
  <c r="N34" i="3" s="1"/>
  <c r="J214" i="3"/>
  <c r="O214" i="3"/>
  <c r="M214" i="3"/>
  <c r="N214" i="3" s="1"/>
  <c r="N25" i="4"/>
  <c r="M25" i="4"/>
  <c r="O25" i="4" s="1"/>
  <c r="J224" i="3"/>
  <c r="O224" i="3"/>
  <c r="M224" i="3"/>
  <c r="N224" i="3" s="1"/>
  <c r="J60" i="3"/>
  <c r="O60" i="3"/>
  <c r="M60" i="3"/>
  <c r="N60" i="3" s="1"/>
  <c r="J297" i="3"/>
  <c r="O297" i="3" s="1"/>
  <c r="M297" i="3"/>
  <c r="N297" i="3" s="1"/>
  <c r="O143" i="3"/>
  <c r="J143" i="3"/>
  <c r="M143" i="3"/>
  <c r="N143" i="3" s="1"/>
  <c r="N6" i="4"/>
  <c r="O6" i="4" s="1"/>
  <c r="J110" i="3"/>
  <c r="O110" i="3"/>
  <c r="M110" i="3"/>
  <c r="N110" i="3" s="1"/>
  <c r="N34" i="4"/>
  <c r="M34" i="4"/>
  <c r="O34" i="4" s="1"/>
  <c r="E8" i="6"/>
  <c r="N22" i="4"/>
  <c r="M22" i="4"/>
  <c r="O22" i="4" s="1"/>
  <c r="J152" i="3"/>
  <c r="O152" i="3" s="1"/>
  <c r="M152" i="3"/>
  <c r="N152" i="3" s="1"/>
  <c r="N32" i="4"/>
  <c r="M32" i="4"/>
  <c r="O32" i="4" s="1"/>
  <c r="C39" i="4"/>
  <c r="E6" i="6" s="1"/>
  <c r="N19" i="4"/>
  <c r="M19" i="4"/>
  <c r="J119" i="3"/>
  <c r="O119" i="3" s="1"/>
  <c r="M119" i="3"/>
  <c r="N119" i="3" s="1"/>
  <c r="M23" i="4"/>
  <c r="N23" i="4"/>
  <c r="M158" i="3"/>
  <c r="N158" i="3" s="1"/>
  <c r="J158" i="3"/>
  <c r="O158" i="3" s="1"/>
  <c r="N17" i="4"/>
  <c r="M17" i="4"/>
  <c r="O17" i="4" s="1"/>
  <c r="N13" i="4"/>
  <c r="M13" i="4"/>
  <c r="O13" i="4" s="1"/>
  <c r="J185" i="3"/>
  <c r="O185" i="3"/>
  <c r="M185" i="3"/>
  <c r="N185" i="3" s="1"/>
  <c r="N28" i="4"/>
  <c r="M28" i="4"/>
  <c r="J111" i="3"/>
  <c r="O111" i="3" s="1"/>
  <c r="M111" i="3"/>
  <c r="N111" i="3" s="1"/>
  <c r="N21" i="4"/>
  <c r="M21" i="4"/>
  <c r="O21" i="4" s="1"/>
  <c r="J62" i="3"/>
  <c r="O62" i="3"/>
  <c r="M62" i="3"/>
  <c r="N62" i="3" s="1"/>
  <c r="J59" i="3"/>
  <c r="O59" i="3" s="1"/>
  <c r="M59" i="3"/>
  <c r="N59" i="3" s="1"/>
  <c r="N24" i="4"/>
  <c r="M24" i="4"/>
  <c r="O24" i="4" s="1"/>
  <c r="M12" i="4"/>
  <c r="O12" i="4" s="1"/>
  <c r="O132" i="3"/>
  <c r="J132" i="3"/>
  <c r="M132" i="3"/>
  <c r="N132" i="3" s="1"/>
  <c r="J129" i="3"/>
  <c r="O129" i="3"/>
  <c r="M129" i="3"/>
  <c r="N129" i="3" s="1"/>
  <c r="M8" i="4"/>
  <c r="O8" i="4" s="1"/>
  <c r="J313" i="3"/>
  <c r="O313" i="3" s="1"/>
  <c r="M313" i="3"/>
  <c r="N313" i="3" s="1"/>
  <c r="O182" i="3"/>
  <c r="J182" i="3"/>
  <c r="M182" i="3"/>
  <c r="N182" i="3" s="1"/>
  <c r="J222" i="3"/>
  <c r="O222" i="3"/>
  <c r="M222" i="3"/>
  <c r="N222" i="3" s="1"/>
  <c r="N35" i="4"/>
  <c r="M35" i="4"/>
  <c r="N14" i="4"/>
  <c r="M14" i="4"/>
  <c r="M27" i="4"/>
  <c r="N27" i="4"/>
  <c r="M7" i="4"/>
  <c r="O7" i="4" s="1"/>
  <c r="N26" i="4"/>
  <c r="M26" i="4"/>
  <c r="O26" i="4" s="1"/>
  <c r="N20" i="4"/>
  <c r="M20" i="4"/>
  <c r="O20" i="4" s="1"/>
  <c r="N9" i="4"/>
  <c r="M9" i="4"/>
  <c r="O9" i="4" s="1"/>
  <c r="M205" i="3"/>
  <c r="N205" i="3" s="1"/>
  <c r="J205" i="3"/>
  <c r="O205" i="3" s="1"/>
  <c r="O305" i="3"/>
  <c r="J305" i="3"/>
  <c r="M305" i="3"/>
  <c r="N305" i="3" s="1"/>
  <c r="M166" i="3"/>
  <c r="N166" i="3" s="1"/>
  <c r="J166" i="3"/>
  <c r="O166" i="3" s="1"/>
  <c r="N16" i="4"/>
  <c r="M16" i="4"/>
  <c r="O16" i="4" s="1"/>
  <c r="N11" i="4"/>
  <c r="M11" i="4"/>
  <c r="N18" i="4"/>
  <c r="M18" i="4"/>
  <c r="J120" i="3"/>
  <c r="O120" i="3" s="1"/>
  <c r="M120" i="3"/>
  <c r="N120" i="3" s="1"/>
  <c r="N30" i="4"/>
  <c r="M30" i="4"/>
  <c r="O30" i="4" s="1"/>
  <c r="J96" i="3"/>
  <c r="O96" i="3"/>
  <c r="M96" i="3"/>
  <c r="N96" i="3" s="1"/>
  <c r="J201" i="3"/>
  <c r="M201" i="3"/>
  <c r="N201" i="3" s="1"/>
  <c r="O201" i="3"/>
  <c r="J240" i="3"/>
  <c r="O240" i="3"/>
  <c r="M240" i="3"/>
  <c r="N240" i="3" s="1"/>
  <c r="O136" i="3"/>
  <c r="J136" i="3"/>
  <c r="M136" i="3"/>
  <c r="N136" i="3" s="1"/>
  <c r="J285" i="3"/>
  <c r="O285" i="3"/>
  <c r="M285" i="3"/>
  <c r="N285" i="3" s="1"/>
  <c r="E12" i="6" l="1"/>
  <c r="E16" i="6" s="1"/>
  <c r="E13" i="6"/>
  <c r="E14" i="6"/>
  <c r="O27" i="4"/>
  <c r="O23" i="4"/>
  <c r="O15" i="4"/>
  <c r="O18" i="4"/>
  <c r="O14" i="4"/>
  <c r="O31" i="4"/>
  <c r="O19" i="4"/>
  <c r="O11" i="4"/>
  <c r="O35" i="4"/>
  <c r="O28" i="4"/>
  <c r="O33" i="4"/>
  <c r="G16" i="6" l="1"/>
</calcChain>
</file>

<file path=xl/sharedStrings.xml><?xml version="1.0" encoding="utf-8"?>
<sst xmlns="http://schemas.openxmlformats.org/spreadsheetml/2006/main" count="2573" uniqueCount="948">
  <si>
    <t>SELF-DIRECTED PRACTICE PROJECT. Employees, clients, rates, hours and billing data are fictional and invented for skills practice. This is not professional payroll, time-entry or billing experience.</t>
  </si>
  <si>
    <t>Time-Entry and Billing Validation: Practice Project</t>
  </si>
  <si>
    <t>Scenario</t>
  </si>
  <si>
    <t>30 fictional employees record time to 4 fictional client projects and one internal code over two weeks (Mon 2026-09-14 to Fri 2026-09-25). A separate fictional billing export shows what was billed. The workbook checks that time is complete, clean and agrees with billing.</t>
  </si>
  <si>
    <t>Volume</t>
  </si>
  <si>
    <t>328 time-entry rows, 315 billing lines, 30 employees x 10 working days = 300 expected employee-days.</t>
  </si>
  <si>
    <t>Sheets</t>
  </si>
  <si>
    <t>Time_Entries (data + check columns), Billing_Data (export + reconciliation columns), Coverage (30 x 10 grid of missing days), Discrepancy_Log, Summary_Checks (one-page summary of the checks), Lists (employees, projects, rate card, approved leave).</t>
  </si>
  <si>
    <t>Excel features used</t>
  </si>
  <si>
    <t>Data validation (drop-downs, hour limits, date limits), filters and freeze panes, SUMIFS, COUNTIFS, INDEX/MATCH lookups, SUMPRODUCT, conditional formatting.</t>
  </si>
  <si>
    <t>Seeded problems</t>
  </si>
  <si>
    <t>The data was built with known errors (missing days, duplicates, wrong rates, typos, billing mismatches) so each check can be seen working. The expected count is listed next to the result on Summary_Checks.</t>
  </si>
  <si>
    <t>Colour code</t>
  </si>
  <si>
    <t>Blue text = typed input or data. Black = formula. Green = lookup from another sheet. Red = flagged exception.</t>
  </si>
  <si>
    <t>What this is not</t>
  </si>
  <si>
    <t>Not professional payroll or billing experience, and no real employer or client data. It is a self-directed exercise.</t>
  </si>
  <si>
    <t>Time entries</t>
  </si>
  <si>
    <t>Note: drop-down and limit rules block bad typing. Pasted or imported data bypasses them, which is why the check columns exist.</t>
  </si>
  <si>
    <t>Entry ID</t>
  </si>
  <si>
    <t>Employee ID</t>
  </si>
  <si>
    <t>Employee</t>
  </si>
  <si>
    <t>Role</t>
  </si>
  <si>
    <t>Date</t>
  </si>
  <si>
    <t>Day</t>
  </si>
  <si>
    <t>Project</t>
  </si>
  <si>
    <t>Client</t>
  </si>
  <si>
    <t>Billable?</t>
  </si>
  <si>
    <t>Hours</t>
  </si>
  <si>
    <t>Rate entered ($/h)</t>
  </si>
  <si>
    <t>Contract rate ($/h)</t>
  </si>
  <si>
    <t>Key (emp|date|project)</t>
  </si>
  <si>
    <t>Duplicate</t>
  </si>
  <si>
    <t>Hours check</t>
  </si>
  <si>
    <t>Weekend</t>
  </si>
  <si>
    <t>Project check</t>
  </si>
  <si>
    <t>Rate check</t>
  </si>
  <si>
    <t>Billing check</t>
  </si>
  <si>
    <t>Exceptions</t>
  </si>
  <si>
    <t>Expected amount ($)</t>
  </si>
  <si>
    <t>TE-0001</t>
  </si>
  <si>
    <t>E001</t>
  </si>
  <si>
    <t>P101</t>
  </si>
  <si>
    <t>TE-0002</t>
  </si>
  <si>
    <t>TE-0003</t>
  </si>
  <si>
    <t>TE-0004</t>
  </si>
  <si>
    <t>TE-0005</t>
  </si>
  <si>
    <t>P102</t>
  </si>
  <si>
    <t>TE-0006</t>
  </si>
  <si>
    <t>TE-0007</t>
  </si>
  <si>
    <t>TE-0008</t>
  </si>
  <si>
    <t>P103</t>
  </si>
  <si>
    <t>TE-0009</t>
  </si>
  <si>
    <t>TE-0010</t>
  </si>
  <si>
    <t>INT-001</t>
  </si>
  <si>
    <t>TE-0011</t>
  </si>
  <si>
    <t>TE-0012</t>
  </si>
  <si>
    <t>TE-0013</t>
  </si>
  <si>
    <t>TE-0014</t>
  </si>
  <si>
    <t>E002</t>
  </si>
  <si>
    <t>TE-0015</t>
  </si>
  <si>
    <t>TE-0016</t>
  </si>
  <si>
    <t>TE-0017</t>
  </si>
  <si>
    <t>TE-0018</t>
  </si>
  <si>
    <t>TE-0019</t>
  </si>
  <si>
    <t>TE-0020</t>
  </si>
  <si>
    <t>TE-0021</t>
  </si>
  <si>
    <t>TE-0022</t>
  </si>
  <si>
    <t>TE-0023</t>
  </si>
  <si>
    <t>TE-0024</t>
  </si>
  <si>
    <t>TE-0025</t>
  </si>
  <si>
    <t>TE-0026</t>
  </si>
  <si>
    <t>TE-0027</t>
  </si>
  <si>
    <t>E003</t>
  </si>
  <si>
    <t>TE-0028</t>
  </si>
  <si>
    <t>P104</t>
  </si>
  <si>
    <t>TE-0029</t>
  </si>
  <si>
    <t>TE-0030</t>
  </si>
  <si>
    <t>TE-0031</t>
  </si>
  <si>
    <t>TE-0032</t>
  </si>
  <si>
    <t>TE-0033</t>
  </si>
  <si>
    <t>TE-0034</t>
  </si>
  <si>
    <t>TE-0035</t>
  </si>
  <si>
    <t>TE-0036</t>
  </si>
  <si>
    <t>TE-0037</t>
  </si>
  <si>
    <t>TE-0038</t>
  </si>
  <si>
    <t>TE-0039</t>
  </si>
  <si>
    <t>TE-0040</t>
  </si>
  <si>
    <t>E004</t>
  </si>
  <si>
    <t>TE-0041</t>
  </si>
  <si>
    <t>TE-0042</t>
  </si>
  <si>
    <t>TE-0043</t>
  </si>
  <si>
    <t>TE-0044</t>
  </si>
  <si>
    <t>TE-0045</t>
  </si>
  <si>
    <t>TE-0046</t>
  </si>
  <si>
    <t>TE-0047</t>
  </si>
  <si>
    <t>TE-0048</t>
  </si>
  <si>
    <t>TE-0049</t>
  </si>
  <si>
    <t>TE-0050</t>
  </si>
  <si>
    <t>TE-0051</t>
  </si>
  <si>
    <t>E005</t>
  </si>
  <si>
    <t>TE-0052</t>
  </si>
  <si>
    <t>TE-0053</t>
  </si>
  <si>
    <t>TE-0054</t>
  </si>
  <si>
    <t>TE-0055</t>
  </si>
  <si>
    <t>TE-0056</t>
  </si>
  <si>
    <t>TE-0057</t>
  </si>
  <si>
    <t>TE-0058</t>
  </si>
  <si>
    <t>TE-0059</t>
  </si>
  <si>
    <t>TE-0060</t>
  </si>
  <si>
    <t>TE-0061</t>
  </si>
  <si>
    <t>E006</t>
  </si>
  <si>
    <t>TE-0062</t>
  </si>
  <si>
    <t>TE-0063</t>
  </si>
  <si>
    <t>TE-0064</t>
  </si>
  <si>
    <t>TE-0065</t>
  </si>
  <si>
    <t>TE-0066</t>
  </si>
  <si>
    <t>TE-0067</t>
  </si>
  <si>
    <t>TE-0068</t>
  </si>
  <si>
    <t>TE-0069</t>
  </si>
  <si>
    <t>TE-0070</t>
  </si>
  <si>
    <t>TE-0071</t>
  </si>
  <si>
    <t>TE-0072</t>
  </si>
  <si>
    <t>TE-0073</t>
  </si>
  <si>
    <t>TE-0074</t>
  </si>
  <si>
    <t>E007</t>
  </si>
  <si>
    <t>TE-0075</t>
  </si>
  <si>
    <t>TE-0076</t>
  </si>
  <si>
    <t>TE-0077</t>
  </si>
  <si>
    <t>TE-0078</t>
  </si>
  <si>
    <t>TE-0079</t>
  </si>
  <si>
    <t>TE-0080</t>
  </si>
  <si>
    <t>TE-0081</t>
  </si>
  <si>
    <t>TE-0082</t>
  </si>
  <si>
    <t>TE-0083</t>
  </si>
  <si>
    <t>TE-0084</t>
  </si>
  <si>
    <t>TE-0085</t>
  </si>
  <si>
    <t>E008</t>
  </si>
  <si>
    <t>TE-0086</t>
  </si>
  <si>
    <t>TE-0087</t>
  </si>
  <si>
    <t>TE-0088</t>
  </si>
  <si>
    <t>TE-0089</t>
  </si>
  <si>
    <t>TE-0090</t>
  </si>
  <si>
    <t>TE-0091</t>
  </si>
  <si>
    <t>TE-0092</t>
  </si>
  <si>
    <t>TE-0093</t>
  </si>
  <si>
    <t>TE-0094</t>
  </si>
  <si>
    <t>TE-0095</t>
  </si>
  <si>
    <t>E009</t>
  </si>
  <si>
    <t>TE-0096</t>
  </si>
  <si>
    <t>TE-0097</t>
  </si>
  <si>
    <t>TE-0098</t>
  </si>
  <si>
    <t>TE-0099</t>
  </si>
  <si>
    <t>TE-0100</t>
  </si>
  <si>
    <t>TE-0101</t>
  </si>
  <si>
    <t>TE-0102</t>
  </si>
  <si>
    <t>TE-0103</t>
  </si>
  <si>
    <t>TE-0104</t>
  </si>
  <si>
    <t>TE-0105</t>
  </si>
  <si>
    <t>E010</t>
  </si>
  <si>
    <t>TE-0106</t>
  </si>
  <si>
    <t>TE-0107</t>
  </si>
  <si>
    <t>TE-0108</t>
  </si>
  <si>
    <t>TE-0109</t>
  </si>
  <si>
    <t>TE-0110</t>
  </si>
  <si>
    <t>TE-0111</t>
  </si>
  <si>
    <t>TE-0112</t>
  </si>
  <si>
    <t>TE-0113</t>
  </si>
  <si>
    <t>TE-0114</t>
  </si>
  <si>
    <t>TE-0115</t>
  </si>
  <si>
    <t>TE-0116</t>
  </si>
  <si>
    <t>E011</t>
  </si>
  <si>
    <t>TE-0117</t>
  </si>
  <si>
    <t>TE-0118</t>
  </si>
  <si>
    <t>TE-0119</t>
  </si>
  <si>
    <t>TE-0120</t>
  </si>
  <si>
    <t>TE-0121</t>
  </si>
  <si>
    <t>TE-0122</t>
  </si>
  <si>
    <t>TE-0123</t>
  </si>
  <si>
    <t>TE-0124</t>
  </si>
  <si>
    <t>TE-0125</t>
  </si>
  <si>
    <t>E012</t>
  </si>
  <si>
    <t>TE-0126</t>
  </si>
  <si>
    <t>TE-0127</t>
  </si>
  <si>
    <t>TE-0128</t>
  </si>
  <si>
    <t>TE-0129</t>
  </si>
  <si>
    <t>TE-0130</t>
  </si>
  <si>
    <t>TE-0131</t>
  </si>
  <si>
    <t>P105</t>
  </si>
  <si>
    <t>TE-0132</t>
  </si>
  <si>
    <t>TE-0133</t>
  </si>
  <si>
    <t>TE-0134</t>
  </si>
  <si>
    <t>TE-0135</t>
  </si>
  <si>
    <t>TE-0136</t>
  </si>
  <si>
    <t>TE-0137</t>
  </si>
  <si>
    <t>E013</t>
  </si>
  <si>
    <t>TE-0138</t>
  </si>
  <si>
    <t>TE-0139</t>
  </si>
  <si>
    <t>TE-0140</t>
  </si>
  <si>
    <t>TE-0141</t>
  </si>
  <si>
    <t>TE-0142</t>
  </si>
  <si>
    <t>TE-0143</t>
  </si>
  <si>
    <t>TE-0144</t>
  </si>
  <si>
    <t>TE-0145</t>
  </si>
  <si>
    <t>TE-0146</t>
  </si>
  <si>
    <t>TE-0147</t>
  </si>
  <si>
    <t>TE-0148</t>
  </si>
  <si>
    <t>E014</t>
  </si>
  <si>
    <t>TE-0149</t>
  </si>
  <si>
    <t>TE-0150</t>
  </si>
  <si>
    <t>TE-0151</t>
  </si>
  <si>
    <t>TE-0152</t>
  </si>
  <si>
    <t>TE-0153</t>
  </si>
  <si>
    <t>TE-0154</t>
  </si>
  <si>
    <t>TE-0155</t>
  </si>
  <si>
    <t>TE-0156</t>
  </si>
  <si>
    <t>TE-0157</t>
  </si>
  <si>
    <t>TE-0158</t>
  </si>
  <si>
    <t>E015</t>
  </si>
  <si>
    <t>TE-0159</t>
  </si>
  <si>
    <t>TE-0160</t>
  </si>
  <si>
    <t>TE-0161</t>
  </si>
  <si>
    <t>TE-0162</t>
  </si>
  <si>
    <t>TE-0163</t>
  </si>
  <si>
    <t>TE-0164</t>
  </si>
  <si>
    <t>TE-0165</t>
  </si>
  <si>
    <t>TE-0166</t>
  </si>
  <si>
    <t>TE-0167</t>
  </si>
  <si>
    <t>TE-0168</t>
  </si>
  <si>
    <t>TE-0169</t>
  </si>
  <si>
    <t>E016</t>
  </si>
  <si>
    <t>TE-0170</t>
  </si>
  <si>
    <t>TE-0171</t>
  </si>
  <si>
    <t>TE-0172</t>
  </si>
  <si>
    <t>TE-0173</t>
  </si>
  <si>
    <t>TE-0174</t>
  </si>
  <si>
    <t>TE-0175</t>
  </si>
  <si>
    <t>TE-0176</t>
  </si>
  <si>
    <t>TE-0177</t>
  </si>
  <si>
    <t>TE-0178</t>
  </si>
  <si>
    <t>TE-0179</t>
  </si>
  <si>
    <t>E017</t>
  </si>
  <si>
    <t>TE-0180</t>
  </si>
  <si>
    <t>TE-0181</t>
  </si>
  <si>
    <t>TE-0182</t>
  </si>
  <si>
    <t>TE-0183</t>
  </si>
  <si>
    <t>TE-0184</t>
  </si>
  <si>
    <t>TE-0185</t>
  </si>
  <si>
    <t>TE-0186</t>
  </si>
  <si>
    <t>TE-0187</t>
  </si>
  <si>
    <t>TE-0188</t>
  </si>
  <si>
    <t>E018</t>
  </si>
  <si>
    <t>TE-0189</t>
  </si>
  <si>
    <t>TE-0190</t>
  </si>
  <si>
    <t>TE-0191</t>
  </si>
  <si>
    <t>TE-0192</t>
  </si>
  <si>
    <t>TE-0193</t>
  </si>
  <si>
    <t>TE-0194</t>
  </si>
  <si>
    <t>TE-0195</t>
  </si>
  <si>
    <t>TE-0196</t>
  </si>
  <si>
    <t>TE-0197</t>
  </si>
  <si>
    <t>TE-0198</t>
  </si>
  <si>
    <t>TE-0199</t>
  </si>
  <si>
    <t>E019</t>
  </si>
  <si>
    <t>TE-0200</t>
  </si>
  <si>
    <t>TE-0201</t>
  </si>
  <si>
    <t>TE-0202</t>
  </si>
  <si>
    <t>TE-0203</t>
  </si>
  <si>
    <t>TE-0204</t>
  </si>
  <si>
    <t>TE-0205</t>
  </si>
  <si>
    <t>TE-0206</t>
  </si>
  <si>
    <t>TE-0207</t>
  </si>
  <si>
    <t>TE-0208</t>
  </si>
  <si>
    <t>TE-0209</t>
  </si>
  <si>
    <t>E020</t>
  </si>
  <si>
    <t>TE-0210</t>
  </si>
  <si>
    <t>TE-0211</t>
  </si>
  <si>
    <t>TE-0212</t>
  </si>
  <si>
    <t>TE-0213</t>
  </si>
  <si>
    <t>TE-0214</t>
  </si>
  <si>
    <t>TE-0215</t>
  </si>
  <si>
    <t>TE-0216</t>
  </si>
  <si>
    <t>TE-0217</t>
  </si>
  <si>
    <t>TE-0218</t>
  </si>
  <si>
    <t>TE-0219</t>
  </si>
  <si>
    <t>E021</t>
  </si>
  <si>
    <t>TE-0220</t>
  </si>
  <si>
    <t>TE-0221</t>
  </si>
  <si>
    <t>TE-0222</t>
  </si>
  <si>
    <t>TE-0223</t>
  </si>
  <si>
    <t>TE-0224</t>
  </si>
  <si>
    <t>TE-0225</t>
  </si>
  <si>
    <t>TE-0226</t>
  </si>
  <si>
    <t>TE-0227</t>
  </si>
  <si>
    <t>TE-0228</t>
  </si>
  <si>
    <t>TE-0229</t>
  </si>
  <si>
    <t>E022</t>
  </si>
  <si>
    <t>TE-0230</t>
  </si>
  <si>
    <t>TE-0231</t>
  </si>
  <si>
    <t>TE-0232</t>
  </si>
  <si>
    <t>TE-0233</t>
  </si>
  <si>
    <t>TE-0234</t>
  </si>
  <si>
    <t>TE-0235</t>
  </si>
  <si>
    <t>TE-0236</t>
  </si>
  <si>
    <t>TE-0237</t>
  </si>
  <si>
    <t>TE-0238</t>
  </si>
  <si>
    <t>TE-0239</t>
  </si>
  <si>
    <t>TE-0240</t>
  </si>
  <si>
    <t>E023</t>
  </si>
  <si>
    <t>TE-0241</t>
  </si>
  <si>
    <t>TE-0242</t>
  </si>
  <si>
    <t>TE-0243</t>
  </si>
  <si>
    <t>TE-0244</t>
  </si>
  <si>
    <t>TE-0245</t>
  </si>
  <si>
    <t>TE-0246</t>
  </si>
  <si>
    <t>TE-0247</t>
  </si>
  <si>
    <t>TE-0248</t>
  </si>
  <si>
    <t>TE-0249</t>
  </si>
  <si>
    <t>E024</t>
  </si>
  <si>
    <t>TE-0250</t>
  </si>
  <si>
    <t>TE-0251</t>
  </si>
  <si>
    <t>TE-0252</t>
  </si>
  <si>
    <t>TE-0253</t>
  </si>
  <si>
    <t>TE-0254</t>
  </si>
  <si>
    <t>TE-0255</t>
  </si>
  <si>
    <t>TE-0256</t>
  </si>
  <si>
    <t>TE-0257</t>
  </si>
  <si>
    <t>TE-0258</t>
  </si>
  <si>
    <t>TE-0259</t>
  </si>
  <si>
    <t>TE-0260</t>
  </si>
  <si>
    <t>E025</t>
  </si>
  <si>
    <t>TE-0261</t>
  </si>
  <si>
    <t>TE-0262</t>
  </si>
  <si>
    <t>TE-0263</t>
  </si>
  <si>
    <t>TE-0264</t>
  </si>
  <si>
    <t>TE-0265</t>
  </si>
  <si>
    <t>TE-0266</t>
  </si>
  <si>
    <t>TE-0267</t>
  </si>
  <si>
    <t>TE-0268</t>
  </si>
  <si>
    <t>TE-0269</t>
  </si>
  <si>
    <t>TE-0270</t>
  </si>
  <si>
    <t>TE-0271</t>
  </si>
  <si>
    <t>TE-0272</t>
  </si>
  <si>
    <t>E026</t>
  </si>
  <si>
    <t>TE-0273</t>
  </si>
  <si>
    <t>TE-0274</t>
  </si>
  <si>
    <t>TE-0275</t>
  </si>
  <si>
    <t>TE-0276</t>
  </si>
  <si>
    <t>TE-0277</t>
  </si>
  <si>
    <t>TE-0278</t>
  </si>
  <si>
    <t>TE-0279</t>
  </si>
  <si>
    <t>TE-0280</t>
  </si>
  <si>
    <t>TE-0281</t>
  </si>
  <si>
    <t>E027</t>
  </si>
  <si>
    <t>TE-0282</t>
  </si>
  <si>
    <t>TE-0283</t>
  </si>
  <si>
    <t>TE-0284</t>
  </si>
  <si>
    <t>TE-0285</t>
  </si>
  <si>
    <t>TE-0286</t>
  </si>
  <si>
    <t>TE-0287</t>
  </si>
  <si>
    <t>TE-0288</t>
  </si>
  <si>
    <t>TE-0289</t>
  </si>
  <si>
    <t>TE-0290</t>
  </si>
  <si>
    <t>TE-0291</t>
  </si>
  <si>
    <t>E028</t>
  </si>
  <si>
    <t>TE-0292</t>
  </si>
  <si>
    <t>TE-0293</t>
  </si>
  <si>
    <t>TE-0294</t>
  </si>
  <si>
    <t>TE-0295</t>
  </si>
  <si>
    <t>TE-0296</t>
  </si>
  <si>
    <t>TE-0297</t>
  </si>
  <si>
    <t>TE-0298</t>
  </si>
  <si>
    <t>TE-0299</t>
  </si>
  <si>
    <t>TE-0300</t>
  </si>
  <si>
    <t>TE-0301</t>
  </si>
  <si>
    <t>TE-0302</t>
  </si>
  <si>
    <t>E029</t>
  </si>
  <si>
    <t>TE-0303</t>
  </si>
  <si>
    <t>TE-0304</t>
  </si>
  <si>
    <t>TE-0305</t>
  </si>
  <si>
    <t>TE-0306</t>
  </si>
  <si>
    <t>TE-0307</t>
  </si>
  <si>
    <t>TE-0308</t>
  </si>
  <si>
    <t>TE-0309</t>
  </si>
  <si>
    <t>TE-0310</t>
  </si>
  <si>
    <t>TE-0311</t>
  </si>
  <si>
    <t>E030</t>
  </si>
  <si>
    <t>TE-0312</t>
  </si>
  <si>
    <t>TE-0313</t>
  </si>
  <si>
    <t>TE-0314</t>
  </si>
  <si>
    <t>TE-0315</t>
  </si>
  <si>
    <t>TE-0316</t>
  </si>
  <si>
    <t>TE-0317</t>
  </si>
  <si>
    <t>TE-0318</t>
  </si>
  <si>
    <t>TE-0319</t>
  </si>
  <si>
    <t>TE-0320</t>
  </si>
  <si>
    <t>TE-0321</t>
  </si>
  <si>
    <t>TE-0322</t>
  </si>
  <si>
    <t>TE-0323</t>
  </si>
  <si>
    <t>TE-0324</t>
  </si>
  <si>
    <t>TE-0325</t>
  </si>
  <si>
    <t>TE-0326</t>
  </si>
  <si>
    <t>TE-0327</t>
  </si>
  <si>
    <t>TE-0328</t>
  </si>
  <si>
    <t>Billing export and reconciliation to time entries</t>
  </si>
  <si>
    <t>Billing line</t>
  </si>
  <si>
    <t>Hours billed</t>
  </si>
  <si>
    <t>Rate billed ($/h)</t>
  </si>
  <si>
    <t>Amount billed ($)</t>
  </si>
  <si>
    <t>Time entered, excl. duplicates (h)</t>
  </si>
  <si>
    <t>Hours difference</t>
  </si>
  <si>
    <t>Rate difference</t>
  </si>
  <si>
    <t>Amount variance ($)</t>
  </si>
  <si>
    <t>Status</t>
  </si>
  <si>
    <t>BL-0001</t>
  </si>
  <si>
    <t>BL-0002</t>
  </si>
  <si>
    <t>BL-0003</t>
  </si>
  <si>
    <t>BL-0004</t>
  </si>
  <si>
    <t>BL-0005</t>
  </si>
  <si>
    <t>BL-0006</t>
  </si>
  <si>
    <t>BL-0007</t>
  </si>
  <si>
    <t>BL-0008</t>
  </si>
  <si>
    <t>BL-0009</t>
  </si>
  <si>
    <t>BL-0010</t>
  </si>
  <si>
    <t>BL-0011</t>
  </si>
  <si>
    <t>BL-0012</t>
  </si>
  <si>
    <t>BL-0013</t>
  </si>
  <si>
    <t>BL-0014</t>
  </si>
  <si>
    <t>BL-0015</t>
  </si>
  <si>
    <t>BL-0016</t>
  </si>
  <si>
    <t>BL-0017</t>
  </si>
  <si>
    <t>BL-0018</t>
  </si>
  <si>
    <t>BL-0019</t>
  </si>
  <si>
    <t>BL-0020</t>
  </si>
  <si>
    <t>BL-0021</t>
  </si>
  <si>
    <t>BL-0022</t>
  </si>
  <si>
    <t>BL-0023</t>
  </si>
  <si>
    <t>BL-0024</t>
  </si>
  <si>
    <t>BL-0025</t>
  </si>
  <si>
    <t>BL-0026</t>
  </si>
  <si>
    <t>BL-0027</t>
  </si>
  <si>
    <t>BL-0028</t>
  </si>
  <si>
    <t>BL-0029</t>
  </si>
  <si>
    <t>BL-0030</t>
  </si>
  <si>
    <t>BL-0031</t>
  </si>
  <si>
    <t>BL-0032</t>
  </si>
  <si>
    <t>BL-0033</t>
  </si>
  <si>
    <t>BL-0034</t>
  </si>
  <si>
    <t>BL-0035</t>
  </si>
  <si>
    <t>BL-0036</t>
  </si>
  <si>
    <t>BL-0037</t>
  </si>
  <si>
    <t>BL-0038</t>
  </si>
  <si>
    <t>BL-0039</t>
  </si>
  <si>
    <t>BL-0040</t>
  </si>
  <si>
    <t>BL-0041</t>
  </si>
  <si>
    <t>BL-0042</t>
  </si>
  <si>
    <t>BL-0043</t>
  </si>
  <si>
    <t>BL-0044</t>
  </si>
  <si>
    <t>BL-0045</t>
  </si>
  <si>
    <t>BL-0046</t>
  </si>
  <si>
    <t>BL-0047</t>
  </si>
  <si>
    <t>BL-0048</t>
  </si>
  <si>
    <t>BL-0049</t>
  </si>
  <si>
    <t>BL-0050</t>
  </si>
  <si>
    <t>BL-0051</t>
  </si>
  <si>
    <t>BL-0052</t>
  </si>
  <si>
    <t>BL-0053</t>
  </si>
  <si>
    <t>BL-0054</t>
  </si>
  <si>
    <t>BL-0055</t>
  </si>
  <si>
    <t>BL-0056</t>
  </si>
  <si>
    <t>BL-0057</t>
  </si>
  <si>
    <t>BL-0058</t>
  </si>
  <si>
    <t>BL-0059</t>
  </si>
  <si>
    <t>BL-0060</t>
  </si>
  <si>
    <t>BL-0061</t>
  </si>
  <si>
    <t>BL-0062</t>
  </si>
  <si>
    <t>BL-0063</t>
  </si>
  <si>
    <t>BL-0064</t>
  </si>
  <si>
    <t>BL-0065</t>
  </si>
  <si>
    <t>BL-0066</t>
  </si>
  <si>
    <t>BL-0067</t>
  </si>
  <si>
    <t>BL-0068</t>
  </si>
  <si>
    <t>BL-0069</t>
  </si>
  <si>
    <t>BL-0070</t>
  </si>
  <si>
    <t>BL-0071</t>
  </si>
  <si>
    <t>BL-0072</t>
  </si>
  <si>
    <t>BL-0073</t>
  </si>
  <si>
    <t>BL-0074</t>
  </si>
  <si>
    <t>BL-0075</t>
  </si>
  <si>
    <t>BL-0076</t>
  </si>
  <si>
    <t>BL-0077</t>
  </si>
  <si>
    <t>BL-0078</t>
  </si>
  <si>
    <t>BL-0079</t>
  </si>
  <si>
    <t>BL-0080</t>
  </si>
  <si>
    <t>BL-0081</t>
  </si>
  <si>
    <t>BL-0082</t>
  </si>
  <si>
    <t>BL-0083</t>
  </si>
  <si>
    <t>BL-0084</t>
  </si>
  <si>
    <t>BL-0085</t>
  </si>
  <si>
    <t>BL-0086</t>
  </si>
  <si>
    <t>BL-0087</t>
  </si>
  <si>
    <t>BL-0088</t>
  </si>
  <si>
    <t>BL-0089</t>
  </si>
  <si>
    <t>BL-0090</t>
  </si>
  <si>
    <t>BL-0091</t>
  </si>
  <si>
    <t>BL-0092</t>
  </si>
  <si>
    <t>BL-0093</t>
  </si>
  <si>
    <t>BL-0094</t>
  </si>
  <si>
    <t>BL-0095</t>
  </si>
  <si>
    <t>BL-0096</t>
  </si>
  <si>
    <t>BL-0097</t>
  </si>
  <si>
    <t>BL-0098</t>
  </si>
  <si>
    <t>BL-0099</t>
  </si>
  <si>
    <t>BL-0100</t>
  </si>
  <si>
    <t>BL-0101</t>
  </si>
  <si>
    <t>BL-0102</t>
  </si>
  <si>
    <t>BL-0103</t>
  </si>
  <si>
    <t>BL-0104</t>
  </si>
  <si>
    <t>BL-0105</t>
  </si>
  <si>
    <t>BL-0106</t>
  </si>
  <si>
    <t>BL-0107</t>
  </si>
  <si>
    <t>BL-0108</t>
  </si>
  <si>
    <t>BL-0109</t>
  </si>
  <si>
    <t>BL-0110</t>
  </si>
  <si>
    <t>BL-0111</t>
  </si>
  <si>
    <t>BL-0112</t>
  </si>
  <si>
    <t>BL-0113</t>
  </si>
  <si>
    <t>BL-0114</t>
  </si>
  <si>
    <t>BL-0115</t>
  </si>
  <si>
    <t>BL-0116</t>
  </si>
  <si>
    <t>BL-0117</t>
  </si>
  <si>
    <t>BL-0118</t>
  </si>
  <si>
    <t>BL-0119</t>
  </si>
  <si>
    <t>BL-0120</t>
  </si>
  <si>
    <t>BL-0121</t>
  </si>
  <si>
    <t>BL-0122</t>
  </si>
  <si>
    <t>BL-0123</t>
  </si>
  <si>
    <t>BL-0124</t>
  </si>
  <si>
    <t>BL-0125</t>
  </si>
  <si>
    <t>BL-0126</t>
  </si>
  <si>
    <t>BL-0127</t>
  </si>
  <si>
    <t>BL-0128</t>
  </si>
  <si>
    <t>BL-0129</t>
  </si>
  <si>
    <t>BL-0130</t>
  </si>
  <si>
    <t>BL-0131</t>
  </si>
  <si>
    <t>BL-0132</t>
  </si>
  <si>
    <t>BL-0133</t>
  </si>
  <si>
    <t>BL-0134</t>
  </si>
  <si>
    <t>BL-0135</t>
  </si>
  <si>
    <t>BL-0136</t>
  </si>
  <si>
    <t>BL-0137</t>
  </si>
  <si>
    <t>BL-0138</t>
  </si>
  <si>
    <t>BL-0139</t>
  </si>
  <si>
    <t>BL-0140</t>
  </si>
  <si>
    <t>BL-0141</t>
  </si>
  <si>
    <t>BL-0142</t>
  </si>
  <si>
    <t>BL-0143</t>
  </si>
  <si>
    <t>BL-0144</t>
  </si>
  <si>
    <t>BL-0145</t>
  </si>
  <si>
    <t>BL-0146</t>
  </si>
  <si>
    <t>BL-0147</t>
  </si>
  <si>
    <t>BL-0148</t>
  </si>
  <si>
    <t>BL-0149</t>
  </si>
  <si>
    <t>BL-0150</t>
  </si>
  <si>
    <t>BL-0151</t>
  </si>
  <si>
    <t>BL-0152</t>
  </si>
  <si>
    <t>BL-0153</t>
  </si>
  <si>
    <t>BL-0154</t>
  </si>
  <si>
    <t>BL-0155</t>
  </si>
  <si>
    <t>BL-0156</t>
  </si>
  <si>
    <t>BL-0157</t>
  </si>
  <si>
    <t>BL-0158</t>
  </si>
  <si>
    <t>BL-0159</t>
  </si>
  <si>
    <t>BL-0160</t>
  </si>
  <si>
    <t>BL-0161</t>
  </si>
  <si>
    <t>BL-0162</t>
  </si>
  <si>
    <t>BL-0163</t>
  </si>
  <si>
    <t>BL-0164</t>
  </si>
  <si>
    <t>BL-0165</t>
  </si>
  <si>
    <t>BL-0166</t>
  </si>
  <si>
    <t>BL-0167</t>
  </si>
  <si>
    <t>BL-0168</t>
  </si>
  <si>
    <t>BL-0169</t>
  </si>
  <si>
    <t>BL-0170</t>
  </si>
  <si>
    <t>BL-0171</t>
  </si>
  <si>
    <t>BL-0172</t>
  </si>
  <si>
    <t>BL-0173</t>
  </si>
  <si>
    <t>BL-0174</t>
  </si>
  <si>
    <t>BL-0175</t>
  </si>
  <si>
    <t>BL-0176</t>
  </si>
  <si>
    <t>BL-0177</t>
  </si>
  <si>
    <t>BL-0178</t>
  </si>
  <si>
    <t>BL-0179</t>
  </si>
  <si>
    <t>BL-0180</t>
  </si>
  <si>
    <t>BL-0181</t>
  </si>
  <si>
    <t>BL-0182</t>
  </si>
  <si>
    <t>BL-0183</t>
  </si>
  <si>
    <t>BL-0184</t>
  </si>
  <si>
    <t>BL-0185</t>
  </si>
  <si>
    <t>BL-0186</t>
  </si>
  <si>
    <t>BL-0187</t>
  </si>
  <si>
    <t>BL-0188</t>
  </si>
  <si>
    <t>BL-0189</t>
  </si>
  <si>
    <t>BL-0190</t>
  </si>
  <si>
    <t>BL-0191</t>
  </si>
  <si>
    <t>BL-0192</t>
  </si>
  <si>
    <t>BL-0193</t>
  </si>
  <si>
    <t>BL-0194</t>
  </si>
  <si>
    <t>BL-0195</t>
  </si>
  <si>
    <t>BL-0196</t>
  </si>
  <si>
    <t>BL-0197</t>
  </si>
  <si>
    <t>BL-0198</t>
  </si>
  <si>
    <t>BL-0199</t>
  </si>
  <si>
    <t>BL-0200</t>
  </si>
  <si>
    <t>BL-0201</t>
  </si>
  <si>
    <t>BL-0202</t>
  </si>
  <si>
    <t>BL-0203</t>
  </si>
  <si>
    <t>BL-0204</t>
  </si>
  <si>
    <t>BL-0205</t>
  </si>
  <si>
    <t>BL-0206</t>
  </si>
  <si>
    <t>BL-0207</t>
  </si>
  <si>
    <t>BL-0208</t>
  </si>
  <si>
    <t>BL-0209</t>
  </si>
  <si>
    <t>BL-0210</t>
  </si>
  <si>
    <t>BL-0211</t>
  </si>
  <si>
    <t>BL-0212</t>
  </si>
  <si>
    <t>BL-0213</t>
  </si>
  <si>
    <t>BL-0214</t>
  </si>
  <si>
    <t>BL-0215</t>
  </si>
  <si>
    <t>BL-0216</t>
  </si>
  <si>
    <t>BL-0217</t>
  </si>
  <si>
    <t>BL-0218</t>
  </si>
  <si>
    <t>BL-0219</t>
  </si>
  <si>
    <t>BL-0220</t>
  </si>
  <si>
    <t>BL-0221</t>
  </si>
  <si>
    <t>BL-0222</t>
  </si>
  <si>
    <t>BL-0223</t>
  </si>
  <si>
    <t>BL-0224</t>
  </si>
  <si>
    <t>BL-0225</t>
  </si>
  <si>
    <t>BL-0226</t>
  </si>
  <si>
    <t>BL-0227</t>
  </si>
  <si>
    <t>BL-0228</t>
  </si>
  <si>
    <t>BL-0229</t>
  </si>
  <si>
    <t>BL-0230</t>
  </si>
  <si>
    <t>BL-0231</t>
  </si>
  <si>
    <t>BL-0232</t>
  </si>
  <si>
    <t>BL-0233</t>
  </si>
  <si>
    <t>BL-0234</t>
  </si>
  <si>
    <t>BL-0235</t>
  </si>
  <si>
    <t>BL-0236</t>
  </si>
  <si>
    <t>BL-0237</t>
  </si>
  <si>
    <t>BL-0238</t>
  </si>
  <si>
    <t>BL-0239</t>
  </si>
  <si>
    <t>BL-0240</t>
  </si>
  <si>
    <t>BL-0241</t>
  </si>
  <si>
    <t>BL-0242</t>
  </si>
  <si>
    <t>BL-0243</t>
  </si>
  <si>
    <t>BL-0244</t>
  </si>
  <si>
    <t>BL-0245</t>
  </si>
  <si>
    <t>BL-0246</t>
  </si>
  <si>
    <t>BL-0247</t>
  </si>
  <si>
    <t>BL-0248</t>
  </si>
  <si>
    <t>BL-0249</t>
  </si>
  <si>
    <t>BL-0250</t>
  </si>
  <si>
    <t>BL-0251</t>
  </si>
  <si>
    <t>BL-0252</t>
  </si>
  <si>
    <t>BL-0253</t>
  </si>
  <si>
    <t>BL-0254</t>
  </si>
  <si>
    <t>BL-0255</t>
  </si>
  <si>
    <t>BL-0256</t>
  </si>
  <si>
    <t>BL-0257</t>
  </si>
  <si>
    <t>BL-0258</t>
  </si>
  <si>
    <t>BL-0259</t>
  </si>
  <si>
    <t>BL-0260</t>
  </si>
  <si>
    <t>BL-0261</t>
  </si>
  <si>
    <t>BL-0262</t>
  </si>
  <si>
    <t>BL-0263</t>
  </si>
  <si>
    <t>BL-0264</t>
  </si>
  <si>
    <t>BL-0265</t>
  </si>
  <si>
    <t>BL-0266</t>
  </si>
  <si>
    <t>BL-0267</t>
  </si>
  <si>
    <t>BL-0268</t>
  </si>
  <si>
    <t>BL-0269</t>
  </si>
  <si>
    <t>BL-0270</t>
  </si>
  <si>
    <t>BL-0271</t>
  </si>
  <si>
    <t>BL-0272</t>
  </si>
  <si>
    <t>BL-0273</t>
  </si>
  <si>
    <t>BL-0274</t>
  </si>
  <si>
    <t>BL-0275</t>
  </si>
  <si>
    <t>BL-0276</t>
  </si>
  <si>
    <t>BL-0277</t>
  </si>
  <si>
    <t>BL-0278</t>
  </si>
  <si>
    <t>BL-0279</t>
  </si>
  <si>
    <t>BL-0280</t>
  </si>
  <si>
    <t>BL-0281</t>
  </si>
  <si>
    <t>BL-0282</t>
  </si>
  <si>
    <t>BL-0283</t>
  </si>
  <si>
    <t>BL-0284</t>
  </si>
  <si>
    <t>BL-0285</t>
  </si>
  <si>
    <t>BL-0286</t>
  </si>
  <si>
    <t>BL-0287</t>
  </si>
  <si>
    <t>BL-0288</t>
  </si>
  <si>
    <t>BL-0289</t>
  </si>
  <si>
    <t>BL-0290</t>
  </si>
  <si>
    <t>BL-0291</t>
  </si>
  <si>
    <t>BL-0292</t>
  </si>
  <si>
    <t>BL-0293</t>
  </si>
  <si>
    <t>BL-0294</t>
  </si>
  <si>
    <t>BL-0295</t>
  </si>
  <si>
    <t>BL-0296</t>
  </si>
  <si>
    <t>BL-0297</t>
  </si>
  <si>
    <t>BL-0298</t>
  </si>
  <si>
    <t>BL-0299</t>
  </si>
  <si>
    <t>BL-0300</t>
  </si>
  <si>
    <t>BL-0301</t>
  </si>
  <si>
    <t>BL-0302</t>
  </si>
  <si>
    <t>BL-0303</t>
  </si>
  <si>
    <t>BL-0304</t>
  </si>
  <si>
    <t>BL-0305</t>
  </si>
  <si>
    <t>BL-0306</t>
  </si>
  <si>
    <t>BL-0307</t>
  </si>
  <si>
    <t>BL-0308</t>
  </si>
  <si>
    <t>BL-0309</t>
  </si>
  <si>
    <t>BL-0310</t>
  </si>
  <si>
    <t>BL-0311</t>
  </si>
  <si>
    <t>BL-0312</t>
  </si>
  <si>
    <t>BL-0313</t>
  </si>
  <si>
    <t>BL-0314</t>
  </si>
  <si>
    <t>BL-0315</t>
  </si>
  <si>
    <t>Coverage: every employee, every working day</t>
  </si>
  <si>
    <t>MISSING = no time entry and no approved leave. LEAVE = approved leave. Numbers are hours (duplicates excluded). Amber = not 8 hours.</t>
  </si>
  <si>
    <t>Total hours</t>
  </si>
  <si>
    <t>Expected hours</t>
  </si>
  <si>
    <t>Variance</t>
  </si>
  <si>
    <t>Employee-days expected</t>
  </si>
  <si>
    <t>Approved leave days</t>
  </si>
  <si>
    <t>Missing time entries</t>
  </si>
  <si>
    <t>Days with hours other than 8</t>
  </si>
  <si>
    <t>Discrepancy log</t>
  </si>
  <si>
    <t>Every exception found by the checks, with a proposed action. Logged as of 2026-10-09. Status stays Open until the owner confirms the fix.</t>
  </si>
  <si>
    <t>Log ID</t>
  </si>
  <si>
    <t>Check type</t>
  </si>
  <si>
    <t>Reference</t>
  </si>
  <si>
    <t>What was found</t>
  </si>
  <si>
    <t>What was expected</t>
  </si>
  <si>
    <t>Possible $ impact</t>
  </si>
  <si>
    <t>Proposed action</t>
  </si>
  <si>
    <t>Who resolves</t>
  </si>
  <si>
    <t>Date logged</t>
  </si>
  <si>
    <t>DL-001</t>
  </si>
  <si>
    <t>MISSING TIME</t>
  </si>
  <si>
    <t>E002 2026-09-15</t>
  </si>
  <si>
    <t>No time entry and no approved leave</t>
  </si>
  <si>
    <t>8.0 h on P102</t>
  </si>
  <si>
    <t>Ask employee and supervisor to submit time or confirm leave</t>
  </si>
  <si>
    <t>Employee / supervisor</t>
  </si>
  <si>
    <t>Open</t>
  </si>
  <si>
    <t>DL-002</t>
  </si>
  <si>
    <t>E009 2026-09-18</t>
  </si>
  <si>
    <t>8.0 h on P101</t>
  </si>
  <si>
    <t>DL-003</t>
  </si>
  <si>
    <t>E011 2026-09-22</t>
  </si>
  <si>
    <t>8.0 h on P103</t>
  </si>
  <si>
    <t>DL-004</t>
  </si>
  <si>
    <t>E017 2026-09-14</t>
  </si>
  <si>
    <t>DL-005</t>
  </si>
  <si>
    <t>E019 2026-09-23</t>
  </si>
  <si>
    <t>DL-006</t>
  </si>
  <si>
    <t>E026 2026-09-25</t>
  </si>
  <si>
    <t>DL-007</t>
  </si>
  <si>
    <t>E029 2026-09-17</t>
  </si>
  <si>
    <t>DL-008</t>
  </si>
  <si>
    <t>DUPLICATE</t>
  </si>
  <si>
    <t>Same employee, date and project as TE-0011</t>
  </si>
  <si>
    <t>One entry of 8.0 h</t>
  </si>
  <si>
    <t>Remove duplicate row after confirming with employee</t>
  </si>
  <si>
    <t>Time-entry coordinator</t>
  </si>
  <si>
    <t>DL-009</t>
  </si>
  <si>
    <t>Same employee, date and project as TE-0061</t>
  </si>
  <si>
    <t>One entry of 4.0 h</t>
  </si>
  <si>
    <t>DL-010</t>
  </si>
  <si>
    <t>Same employee, date and project as TE-0112</t>
  </si>
  <si>
    <t>DL-011</t>
  </si>
  <si>
    <t>Same employee, date and project as TE-0171</t>
  </si>
  <si>
    <t>DL-012</t>
  </si>
  <si>
    <t>Same employee, date and project as TE-0231</t>
  </si>
  <si>
    <t>DL-013</t>
  </si>
  <si>
    <t>RATE</t>
  </si>
  <si>
    <t>Rate entered $78/h</t>
  </si>
  <si>
    <t>Contract rate $86/h</t>
  </si>
  <si>
    <t>Correct rate to contract rate before billing</t>
  </si>
  <si>
    <t>Project manager to confirm</t>
  </si>
  <si>
    <t>DL-014</t>
  </si>
  <si>
    <t>Rate entered $105/h</t>
  </si>
  <si>
    <t>Contract rate $110/h</t>
  </si>
  <si>
    <t>DL-015</t>
  </si>
  <si>
    <t>Rate entered $118/h</t>
  </si>
  <si>
    <t>Contract rate $124/h</t>
  </si>
  <si>
    <t>DL-016</t>
  </si>
  <si>
    <t>Rate entered $103/h</t>
  </si>
  <si>
    <t>Contract rate $98/h</t>
  </si>
  <si>
    <t>DL-017</t>
  </si>
  <si>
    <t>HOURS RANGE</t>
  </si>
  <si>
    <t>80.0 h in one day</t>
  </si>
  <si>
    <t>8.0 h (likely typo)</t>
  </si>
  <si>
    <t>Confirm with employee, correct to 8.0</t>
  </si>
  <si>
    <t>DL-018</t>
  </si>
  <si>
    <t>14.5 h in one day</t>
  </si>
  <si>
    <t>Up to 12 h without approval</t>
  </si>
  <si>
    <t>Confirm hours and overtime approval</t>
  </si>
  <si>
    <t>Supervisor</t>
  </si>
  <si>
    <t>DL-019</t>
  </si>
  <si>
    <t>WEEKEND</t>
  </si>
  <si>
    <t>Entry dated Saturday</t>
  </si>
  <si>
    <t>Weekday entry or approved weekend work</t>
  </si>
  <si>
    <t>Confirm weekend work was authorized in the contract</t>
  </si>
  <si>
    <t>Project manager</t>
  </si>
  <si>
    <t>DL-020</t>
  </si>
  <si>
    <t>PROJECT CODE</t>
  </si>
  <si>
    <t>Project code P105 does not exist</t>
  </si>
  <si>
    <t>Valid project code</t>
  </si>
  <si>
    <t>Confirm correct project with employee and recode</t>
  </si>
  <si>
    <t>Employee / project manager</t>
  </si>
  <si>
    <t>DL-021</t>
  </si>
  <si>
    <t>BILLING HOURS</t>
  </si>
  <si>
    <t>Billed 6.0 h</t>
  </si>
  <si>
    <t>8.0 h entered</t>
  </si>
  <si>
    <t>Confirm hours with employee; correct time or billing</t>
  </si>
  <si>
    <t>Billing coordinator</t>
  </si>
  <si>
    <t>DL-022</t>
  </si>
  <si>
    <t>DL-023</t>
  </si>
  <si>
    <t>Billed 8.0 h</t>
  </si>
  <si>
    <t>80.0 h entered (see HOURS RANGE)</t>
  </si>
  <si>
    <t>Resolve with the 80-hour entry above</t>
  </si>
  <si>
    <t>DL-024</t>
  </si>
  <si>
    <t>DL-025</t>
  </si>
  <si>
    <t>DL-026</t>
  </si>
  <si>
    <t>BILLING RATE</t>
  </si>
  <si>
    <t>Billed $86/h</t>
  </si>
  <si>
    <t>Contract $78/h</t>
  </si>
  <si>
    <t>Correct billing rate or obtain a contract change</t>
  </si>
  <si>
    <t>DL-027</t>
  </si>
  <si>
    <t>Billed $110/h</t>
  </si>
  <si>
    <t>Contract $116/h</t>
  </si>
  <si>
    <t>DL-028</t>
  </si>
  <si>
    <t>Billed $122/h</t>
  </si>
  <si>
    <t>Contract $112/h</t>
  </si>
  <si>
    <t>DL-029</t>
  </si>
  <si>
    <t>NO TIME ENTRY</t>
  </si>
  <si>
    <t>Billed 8.0 h with no time entry</t>
  </si>
  <si>
    <t>Time entry supporting the bill</t>
  </si>
  <si>
    <t>Do not invoice until time is supported; confirm with supervisor</t>
  </si>
  <si>
    <t>DL-030</t>
  </si>
  <si>
    <t>DL-031</t>
  </si>
  <si>
    <t>Billed 4.0 h on P101; time was entered under P105</t>
  </si>
  <si>
    <t>Time entry on the billed project</t>
  </si>
  <si>
    <t>Recode time entry (see PROJECT CODE)</t>
  </si>
  <si>
    <t>DL-032</t>
  </si>
  <si>
    <t>NOT BILLED</t>
  </si>
  <si>
    <t>Billable time with no billing line</t>
  </si>
  <si>
    <t>8.0 h billed</t>
  </si>
  <si>
    <t>Add to the next invoice if the client contract allows</t>
  </si>
  <si>
    <t>DL-033</t>
  </si>
  <si>
    <t>One-page summary of the checks</t>
  </si>
  <si>
    <t>What was tested, how, what was found, and whether the discrepancy log agrees.</t>
  </si>
  <si>
    <t>#</t>
  </si>
  <si>
    <t>Check</t>
  </si>
  <si>
    <t>How it works in Excel</t>
  </si>
  <si>
    <t>Records tested</t>
  </si>
  <si>
    <t>Exceptions found (formula)</t>
  </si>
  <si>
    <t>Seeded (expected)</t>
  </si>
  <si>
    <t>Logged in discrepancy log</t>
  </si>
  <si>
    <t>Coverage grid: SUMIFS of hours per employee per day; blank = MISSING unless approved leave (COUNTIFS on leave table)</t>
  </si>
  <si>
    <t>Duplicate entries</t>
  </si>
  <si>
    <t>COUNTIFS on key (employee|date|project) over the rows above; later rows flagged</t>
  </si>
  <si>
    <t>Inconsistent rates</t>
  </si>
  <si>
    <t>Contract rate looked up from role + project rate card; flagged if rate entered differs</t>
  </si>
  <si>
    <t>Hours out of range</t>
  </si>
  <si>
    <t>Flag hours &lt;= 0 or &gt; 12 in one entry (data validation blocks typing, formula catches pasted data)</t>
  </si>
  <si>
    <t>Weekend entries</t>
  </si>
  <si>
    <t>WEEKDAY(date,2) &gt; 5</t>
  </si>
  <si>
    <t>Invalid project codes</t>
  </si>
  <si>
    <t>COUNTIF against the project list</t>
  </si>
  <si>
    <t>Billed hours differ from time</t>
  </si>
  <si>
    <t>SUMIFS of time hours (duplicates excluded) by key compared with hours billed</t>
  </si>
  <si>
    <t>Billed rate differs from contract</t>
  </si>
  <si>
    <t>Billed rate compared with the rate-card lookup</t>
  </si>
  <si>
    <t>Billed with no time entry</t>
  </si>
  <si>
    <t>Time hours by key = 0 for a billed line</t>
  </si>
  <si>
    <t>Billable time not billed</t>
  </si>
  <si>
    <t>Billable time key not found in billing export</t>
  </si>
  <si>
    <t>Reconciliation</t>
  </si>
  <si>
    <t>Billing totals</t>
  </si>
  <si>
    <t>Billable hours entered, excl. duplicates</t>
  </si>
  <si>
    <t>Expected billing at contract rates ($)</t>
  </si>
  <si>
    <t>Amount billed per export ($)</t>
  </si>
  <si>
    <t>Difference, billed minus expected ($)</t>
  </si>
  <si>
    <t>Duplicate hours that would have been double-counted</t>
  </si>
  <si>
    <t>Send the log owners their items, re-run the checks after corrections, and only then release the billing run. The check columns are formulas, so corrections clear the flags automatically.</t>
  </si>
  <si>
    <t>Limits: fictional data, simple rate card (one rate per role per project), no overtime or premium rates, no approval workflow, no payroll system. A real review would also compare against timesheet approvals and the client contract.</t>
  </si>
  <si>
    <t>Lists and lookup tables (fictional)</t>
  </si>
  <si>
    <t>Key (role|project)</t>
  </si>
  <si>
    <t>Leave date</t>
  </si>
  <si>
    <t>Type</t>
  </si>
  <si>
    <t>Avery Abbott</t>
  </si>
  <si>
    <t>Project Coordinator</t>
  </si>
  <si>
    <t>Alder Energy (fictional)</t>
  </si>
  <si>
    <t>Y</t>
  </si>
  <si>
    <t>Vacation</t>
  </si>
  <si>
    <t>Jordan Brennan</t>
  </si>
  <si>
    <t>Birchwood Midstream (fictional)</t>
  </si>
  <si>
    <t>Sick</t>
  </si>
  <si>
    <t>Taylor Calder</t>
  </si>
  <si>
    <t>Cedar Industrial (fictional)</t>
  </si>
  <si>
    <t>Morgan Dalton</t>
  </si>
  <si>
    <t>Delta Environmental (fictional)</t>
  </si>
  <si>
    <t>Riley Easton</t>
  </si>
  <si>
    <t>Internal / non-billable</t>
  </si>
  <si>
    <t>N</t>
  </si>
  <si>
    <t>Estimator</t>
  </si>
  <si>
    <t>Casey Fenwick</t>
  </si>
  <si>
    <t>Quinn Garrity</t>
  </si>
  <si>
    <t>Parker Holloway</t>
  </si>
  <si>
    <t>Rowan Ingram</t>
  </si>
  <si>
    <t>Field Supervisor</t>
  </si>
  <si>
    <t>Sage Jarvis</t>
  </si>
  <si>
    <t>Devon Kessler</t>
  </si>
  <si>
    <t>Harper Lindqvist</t>
  </si>
  <si>
    <t>Emerson Mercer</t>
  </si>
  <si>
    <t>Safety Advisor</t>
  </si>
  <si>
    <t>Finley Novak</t>
  </si>
  <si>
    <t>Logan Osgood</t>
  </si>
  <si>
    <t>Kendall Pruitt</t>
  </si>
  <si>
    <t>Reese Quill</t>
  </si>
  <si>
    <t>Skyler Radford</t>
  </si>
  <si>
    <t>Jamie Sterling</t>
  </si>
  <si>
    <t>Cameron Thorne</t>
  </si>
  <si>
    <t>Blake Underhill</t>
  </si>
  <si>
    <t>Drew Vance</t>
  </si>
  <si>
    <t>Ellis Whitlock</t>
  </si>
  <si>
    <t>Hayden Yardley</t>
  </si>
  <si>
    <t>Jesse Zeller</t>
  </si>
  <si>
    <t>Kai Ashby</t>
  </si>
  <si>
    <t>Lane Bishop</t>
  </si>
  <si>
    <t>Marley Carver</t>
  </si>
  <si>
    <t>Noel Doyle</t>
  </si>
  <si>
    <t>Oakley Ellery</t>
  </si>
  <si>
    <t>Validate a large set of time records quickly and accurately in Excel</t>
  </si>
  <si>
    <t>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</si>
</sst>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numFmt numFmtId="165" formatCode="0.0"/>
    <numFmt numFmtId="166" formatCode="\$#,##0"/>
    <numFmt numFmtId="167" formatCode="0.0;\-0.0;0.0"/>
    <numFmt numFmtId="168" formatCode="\$#,##0;&quot;-$&quot;#,##0;\$0"/>
    <numFmt numFmtId="169" formatCode="#,##0.00;\-#,##0.00;0.00"/>
    <numFmt numFmtId="170" formatCode="ddd\ d\-mmm"/>
    <numFmt numFmtId="171" formatCode="#,##0.0"/>
    <numFmt numFmtId="172" formatCode="\$#,##0;&quot;-$&quot;#,##0"/>
  </numFmts>
  <fonts count="10" x14ac:knownFonts="1">
    <font>
      <sz val="11"/>
      <color theme="1"/>
      <name val="Calibri"/>
      <family val="2"/>
      <charset val="1"/>
    </font>
    <font>
      <b/>
      <sz val="10"/>
      <color rgb="FF7F6000"/>
      <name val="Arial"/>
      <family val="2"/>
    </font>
    <font>
      <b/>
      <sz val="14"/>
      <color rgb="FF1F3864"/>
      <name val="Arial"/>
      <family val="2"/>
    </font>
    <font>
      <i/>
      <sz val="9"/>
      <color rgb="FF595959"/>
      <name val="Arial"/>
      <family val="2"/>
    </font>
    <font>
      <b/>
      <sz val="10"/>
      <color rgb="FF000000"/>
      <name val="Arial"/>
      <family val="2"/>
    </font>
    <font>
      <sz val="10"/>
      <color rgb="FF000000"/>
      <name val="Arial"/>
      <family val="2"/>
    </font>
    <font>
      <b/>
      <sz val="10"/>
      <color rgb="FFFFFFFF"/>
      <name val="Arial"/>
      <family val="2"/>
    </font>
    <font>
      <sz val="10"/>
      <color rgb="FF0000FF"/>
      <name val="Arial"/>
      <family val="2"/>
    </font>
    <font>
      <sz val="10"/>
      <color rgb="FF008000"/>
      <name val="Arial"/>
      <family val="2"/>
    </font>
    <font>
      <b/>
      <sz val="10"/>
      <color rgb="FF008000"/>
      <name val="Arial"/>
      <family val="2"/>
    </font>
  </fonts>
  <fills count="4">
    <fill>
      <patternFill patternType="none"/>
    </fill>
    <fill>
      <patternFill patternType="gray125"/>
    </fill>
    <fill>
      <patternFill patternType="solid">
        <fgColor rgb="FFFFF2CC"/>
        <bgColor rgb="FFFFFFFF"/>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3" fillId="0" borderId="1" xfId="0" applyFont="1" applyBorder="1"/>
    <xf numFmtId="0" fontId="6" fillId="3" borderId="1" xfId="0" applyFont="1" applyFill="1" applyBorder="1" applyAlignment="1">
      <alignment horizontal="center" vertical="center" wrapText="1"/>
    </xf>
    <xf numFmtId="0" fontId="7" fillId="0" borderId="1" xfId="0" applyFont="1" applyBorder="1"/>
    <xf numFmtId="0" fontId="8" fillId="0" borderId="1" xfId="0" applyFont="1" applyBorder="1"/>
    <xf numFmtId="164" fontId="7" fillId="0" borderId="1" xfId="0" applyNumberFormat="1" applyFont="1" applyBorder="1"/>
    <xf numFmtId="0" fontId="5" fillId="0" borderId="1" xfId="0" applyFont="1" applyBorder="1"/>
    <xf numFmtId="165" fontId="7" fillId="0" borderId="1" xfId="0" applyNumberFormat="1" applyFont="1" applyBorder="1"/>
    <xf numFmtId="166" fontId="7" fillId="0" borderId="1" xfId="0" applyNumberFormat="1" applyFont="1" applyBorder="1"/>
    <xf numFmtId="166" fontId="8" fillId="0" borderId="1" xfId="0" applyNumberFormat="1" applyFont="1" applyBorder="1"/>
    <xf numFmtId="1" fontId="5" fillId="0" borderId="1" xfId="0" applyNumberFormat="1" applyFont="1" applyBorder="1"/>
    <xf numFmtId="4" fontId="5" fillId="0" borderId="1" xfId="0" applyNumberFormat="1" applyFont="1" applyBorder="1"/>
    <xf numFmtId="4" fontId="7" fillId="0" borderId="1" xfId="0" applyNumberFormat="1" applyFont="1" applyBorder="1"/>
    <xf numFmtId="165" fontId="8" fillId="0" borderId="1" xfId="0" applyNumberFormat="1" applyFont="1" applyBorder="1"/>
    <xf numFmtId="167" fontId="5" fillId="0" borderId="1" xfId="0" applyNumberFormat="1" applyFont="1" applyBorder="1"/>
    <xf numFmtId="168" fontId="5" fillId="0" borderId="1" xfId="0" applyNumberFormat="1" applyFont="1" applyBorder="1"/>
    <xf numFmtId="169" fontId="5" fillId="0" borderId="1" xfId="0" applyNumberFormat="1" applyFont="1" applyBorder="1"/>
    <xf numFmtId="170" fontId="6" fillId="3" borderId="1" xfId="0" applyNumberFormat="1" applyFont="1" applyFill="1" applyBorder="1" applyAlignment="1">
      <alignment horizontal="center" vertical="center" wrapText="1"/>
    </xf>
    <xf numFmtId="165" fontId="8" fillId="0" borderId="1" xfId="0" applyNumberFormat="1" applyFont="1" applyBorder="1" applyAlignment="1">
      <alignment horizontal="center" vertical="center"/>
    </xf>
    <xf numFmtId="165" fontId="5" fillId="0" borderId="1" xfId="0" applyNumberFormat="1" applyFont="1" applyBorder="1"/>
    <xf numFmtId="0" fontId="4" fillId="0" borderId="1" xfId="0" applyFont="1" applyBorder="1"/>
    <xf numFmtId="0" fontId="7" fillId="0" borderId="1" xfId="0" applyFont="1" applyBorder="1" applyAlignment="1">
      <alignment vertical="top" wrapText="1"/>
    </xf>
    <xf numFmtId="169" fontId="7" fillId="0" borderId="1" xfId="0" applyNumberFormat="1" applyFont="1" applyBorder="1"/>
    <xf numFmtId="3" fontId="8" fillId="0" borderId="1" xfId="0" applyNumberFormat="1" applyFont="1" applyBorder="1"/>
    <xf numFmtId="1" fontId="8" fillId="0" borderId="1" xfId="0" applyNumberFormat="1" applyFont="1" applyBorder="1"/>
    <xf numFmtId="1" fontId="7" fillId="0" borderId="1" xfId="0" applyNumberFormat="1" applyFont="1" applyBorder="1"/>
    <xf numFmtId="171" fontId="9" fillId="0" borderId="1" xfId="0" applyNumberFormat="1" applyFont="1" applyBorder="1"/>
    <xf numFmtId="166" fontId="9" fillId="0" borderId="1" xfId="0" applyNumberFormat="1" applyFont="1" applyBorder="1"/>
    <xf numFmtId="172" fontId="9" fillId="0" borderId="1" xfId="0" applyNumberFormat="1" applyFont="1" applyBorder="1"/>
    <xf numFmtId="0" fontId="1" fillId="2" borderId="0" xfId="0" applyFont="1" applyFill="1" applyAlignment="1">
      <alignment vertical="center"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6">
    <dxf>
      <fill>
        <patternFill>
          <bgColor rgb="FFFFF2CC"/>
        </patternFill>
      </fill>
    </dxf>
    <dxf>
      <fill>
        <patternFill>
          <bgColor rgb="FFD9D9D9"/>
        </patternFill>
      </fill>
    </dxf>
    <dxf>
      <fill>
        <patternFill>
          <bgColor rgb="FFF8CBAD"/>
        </patternFill>
      </fill>
    </dxf>
    <dxf>
      <fill>
        <patternFill>
          <bgColor rgb="FFF8CBAD"/>
        </patternFill>
      </fill>
    </dxf>
    <dxf>
      <fill>
        <patternFill>
          <bgColor rgb="FFFFF2CC"/>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
  <sheetViews>
    <sheetView tabSelected="1" zoomScaleNormal="100" workbookViewId="0">
      <selection sqref="A1:B1"/>
    </sheetView>
  </sheetViews>
  <sheetFormatPr defaultColWidth="8.7109375" defaultRowHeight="15" x14ac:dyDescent="0.25"/>
  <cols>
    <col min="1" max="1" width="30" customWidth="1"/>
    <col min="2" max="2" width="100" customWidth="1"/>
  </cols>
  <sheetData>
    <row r="1" spans="1:2" ht="30" customHeight="1" x14ac:dyDescent="0.25">
      <c r="A1" s="33" t="s">
        <v>0</v>
      </c>
      <c r="B1" s="33"/>
    </row>
    <row r="2" spans="1:2" ht="18" x14ac:dyDescent="0.25">
      <c r="A2" s="1" t="s">
        <v>1</v>
      </c>
    </row>
    <row r="3" spans="1:2" x14ac:dyDescent="0.25">
      <c r="A3" s="2" t="s">
        <v>946</v>
      </c>
    </row>
    <row r="5" spans="1:2" ht="45.75" customHeight="1" x14ac:dyDescent="0.25">
      <c r="A5" s="3" t="s">
        <v>2</v>
      </c>
      <c r="B5" s="4" t="s">
        <v>3</v>
      </c>
    </row>
    <row r="6" spans="1:2" ht="45.75" customHeight="1" x14ac:dyDescent="0.25">
      <c r="A6" s="3" t="s">
        <v>4</v>
      </c>
      <c r="B6" s="4" t="s">
        <v>5</v>
      </c>
    </row>
    <row r="7" spans="1:2" ht="45.75" customHeight="1" x14ac:dyDescent="0.25">
      <c r="A7" s="3" t="s">
        <v>6</v>
      </c>
      <c r="B7" s="4" t="s">
        <v>7</v>
      </c>
    </row>
    <row r="8" spans="1:2" ht="45.75" customHeight="1" x14ac:dyDescent="0.25">
      <c r="A8" s="3" t="s">
        <v>8</v>
      </c>
      <c r="B8" s="4" t="s">
        <v>9</v>
      </c>
    </row>
    <row r="9" spans="1:2" ht="45.75" customHeight="1" x14ac:dyDescent="0.25">
      <c r="A9" s="3" t="s">
        <v>10</v>
      </c>
      <c r="B9" s="4" t="s">
        <v>11</v>
      </c>
    </row>
    <row r="10" spans="1:2" ht="45.75" customHeight="1" x14ac:dyDescent="0.25">
      <c r="A10" s="3" t="s">
        <v>12</v>
      </c>
      <c r="B10" s="4" t="s">
        <v>13</v>
      </c>
    </row>
    <row r="11" spans="1:2" ht="45.75" customHeight="1" x14ac:dyDescent="0.25">
      <c r="A11" s="3" t="s">
        <v>14</v>
      </c>
      <c r="B11" s="4" t="s">
        <v>15</v>
      </c>
    </row>
  </sheetData>
  <mergeCells count="1">
    <mergeCell ref="A1:B1"/>
  </mergeCells>
  <printOptions horizontalCentered="1"/>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332"/>
  <sheetViews>
    <sheetView zoomScaleNormal="100" workbookViewId="0">
      <pane xSplit="3" ySplit="4" topLeftCell="D5" activePane="bottomRight" state="frozen"/>
      <selection pane="topRight" activeCell="D1" sqref="D1"/>
      <selection pane="bottomLeft" activeCell="A5" sqref="A5"/>
      <selection pane="bottomRight" sqref="A1:V1"/>
    </sheetView>
  </sheetViews>
  <sheetFormatPr defaultColWidth="8.7109375" defaultRowHeight="15" x14ac:dyDescent="0.25"/>
  <cols>
    <col min="1" max="1" width="9" customWidth="1"/>
    <col min="2" max="2" width="10" customWidth="1"/>
    <col min="3" max="3" width="20" customWidth="1"/>
    <col min="4" max="4" width="19" customWidth="1"/>
    <col min="5" max="5" width="11" customWidth="1"/>
    <col min="6" max="6" width="6" customWidth="1"/>
    <col min="7" max="7" width="9" customWidth="1"/>
    <col min="8" max="8" width="26" customWidth="1"/>
    <col min="9" max="9" width="9" customWidth="1"/>
    <col min="10" max="10" width="7" customWidth="1"/>
    <col min="11" max="12" width="10" customWidth="1"/>
    <col min="13" max="13" width="22" customWidth="1"/>
    <col min="14" max="14" width="11" customWidth="1"/>
    <col min="15" max="15" width="9" customWidth="1"/>
    <col min="16" max="17" width="10" customWidth="1"/>
    <col min="18" max="18" width="8" customWidth="1"/>
    <col min="19" max="19" width="12" customWidth="1"/>
    <col min="20" max="20" width="10" customWidth="1"/>
    <col min="21" max="21" width="12" customWidth="1"/>
  </cols>
  <sheetData>
    <row r="1" spans="1:22" ht="30" customHeight="1" x14ac:dyDescent="0.25">
      <c r="A1" s="33" t="s">
        <v>0</v>
      </c>
      <c r="B1" s="33"/>
      <c r="C1" s="33"/>
      <c r="D1" s="33"/>
      <c r="E1" s="33"/>
      <c r="F1" s="33"/>
      <c r="G1" s="33"/>
      <c r="H1" s="33"/>
      <c r="I1" s="33"/>
      <c r="J1" s="33"/>
      <c r="K1" s="33"/>
      <c r="L1" s="33"/>
      <c r="M1" s="33"/>
      <c r="N1" s="33"/>
      <c r="O1" s="33"/>
      <c r="P1" s="33"/>
      <c r="Q1" s="33"/>
      <c r="R1" s="33"/>
      <c r="S1" s="33"/>
      <c r="T1" s="33"/>
      <c r="U1" s="33"/>
      <c r="V1" s="33"/>
    </row>
    <row r="2" spans="1:22" ht="18" x14ac:dyDescent="0.25">
      <c r="A2" s="1" t="s">
        <v>16</v>
      </c>
      <c r="F2" s="5" t="s">
        <v>17</v>
      </c>
    </row>
    <row r="4" spans="1:22" ht="43.5" customHeight="1" x14ac:dyDescent="0.25">
      <c r="A4" s="6" t="s">
        <v>18</v>
      </c>
      <c r="B4" s="6" t="s">
        <v>19</v>
      </c>
      <c r="C4" s="6" t="s">
        <v>20</v>
      </c>
      <c r="D4" s="6" t="s">
        <v>21</v>
      </c>
      <c r="E4" s="6" t="s">
        <v>22</v>
      </c>
      <c r="F4" s="6" t="s">
        <v>23</v>
      </c>
      <c r="G4" s="6" t="s">
        <v>24</v>
      </c>
      <c r="H4" s="6" t="s">
        <v>25</v>
      </c>
      <c r="I4" s="6" t="s">
        <v>26</v>
      </c>
      <c r="J4" s="6" t="s">
        <v>27</v>
      </c>
      <c r="K4" s="6" t="s">
        <v>28</v>
      </c>
      <c r="L4" s="6" t="s">
        <v>29</v>
      </c>
      <c r="M4" s="6" t="s">
        <v>30</v>
      </c>
      <c r="N4" s="6" t="s">
        <v>31</v>
      </c>
      <c r="O4" s="6" t="s">
        <v>32</v>
      </c>
      <c r="P4" s="6" t="s">
        <v>33</v>
      </c>
      <c r="Q4" s="6" t="s">
        <v>34</v>
      </c>
      <c r="R4" s="6" t="s">
        <v>35</v>
      </c>
      <c r="S4" s="6" t="s">
        <v>36</v>
      </c>
      <c r="T4" s="6" t="s">
        <v>37</v>
      </c>
      <c r="U4" s="6" t="s">
        <v>38</v>
      </c>
    </row>
    <row r="5" spans="1:22" x14ac:dyDescent="0.25">
      <c r="A5" s="7" t="s">
        <v>39</v>
      </c>
      <c r="B5" s="7" t="s">
        <v>40</v>
      </c>
      <c r="C5" s="8" t="str">
        <f>IFERROR(INDEX(Lists!$B$5:$B$34,MATCH(B5,Lists!$A$5:$A$34,0)),"")</f>
        <v>Avery Abbott</v>
      </c>
      <c r="D5" s="8" t="str">
        <f>IFERROR(INDEX(Lists!$C$5:$C$34,MATCH(B5,Lists!$A$5:$A$34,0)),"")</f>
        <v>Project Coordinator</v>
      </c>
      <c r="E5" s="9">
        <v>46279</v>
      </c>
      <c r="F5" s="10" t="str">
        <f t="shared" ref="F5:F68" si="0">TEXT(E5,"ddd")</f>
        <v>Mon</v>
      </c>
      <c r="G5" s="7" t="s">
        <v>41</v>
      </c>
      <c r="H5" s="8" t="str">
        <f>IFERROR(INDEX(Lists!$F$5:$F$9,MATCH(G5,Lists!$E$5:$E$9,0)),"")</f>
        <v>Alder Energy (fictional)</v>
      </c>
      <c r="I5" s="8" t="str">
        <f>IFERROR(INDEX(Lists!$G$5:$G$9,MATCH(G5,Lists!$E$5:$E$9,0)),"")</f>
        <v>Y</v>
      </c>
      <c r="J5" s="11">
        <v>8</v>
      </c>
      <c r="K5" s="12">
        <v>78</v>
      </c>
      <c r="L5" s="13">
        <f>IF(I5&lt;&gt;"Y","",IFERROR(INDEX(Lists!$L$5:$L$20,MATCH(D5&amp;"|"&amp;G5,Lists!$I$5:$I$20,0)),""))</f>
        <v>78</v>
      </c>
      <c r="M5" s="10" t="str">
        <f t="shared" ref="M5:M68" si="1">B5&amp;"|"&amp;TEXT(E5,"yyyymmdd")&amp;"|"&amp;G5</f>
        <v>E001|20260914|P101</v>
      </c>
      <c r="N5" s="10" t="str">
        <f>IF(COUNTIFS($M$5:M5,M5)&gt;1,"DUPLICATE","")</f>
        <v/>
      </c>
      <c r="O5" s="10" t="str">
        <f t="shared" ref="O5:O68" si="2">IF(OR(J5&lt;=0,J5&gt;12),"HOURS?","")</f>
        <v/>
      </c>
      <c r="P5" s="10" t="str">
        <f t="shared" ref="P5:P68" si="3">IF(WEEKDAY(E5,2)&gt;5,"WEEKEND","")</f>
        <v/>
      </c>
      <c r="Q5" s="10" t="str">
        <f>IF(COUNTIF(Lists!$E$5:$E$9,G5)=0,"PROJECT?","")</f>
        <v/>
      </c>
      <c r="R5" s="10" t="str">
        <f t="shared" ref="R5:R68" si="4">IF(AND(I5="Y",L5&lt;&gt;"",K5&lt;&gt;L5),"RATE","")</f>
        <v/>
      </c>
      <c r="S5" s="10" t="str">
        <f>IF(AND(I5="Y",N5="",COUNTIF(Billing_Data!$H$5:$H$319,M5)=0),"NOT BILLED","")</f>
        <v/>
      </c>
      <c r="T5" s="14">
        <f t="shared" ref="T5:T68" si="5">SUMPRODUCT(--(LEN(N5:S5)&gt;0))</f>
        <v>0</v>
      </c>
      <c r="U5" s="15">
        <f t="shared" ref="U5:U68" si="6">IF(AND(I5="Y",N5="",L5&lt;&gt;""),J5*L5,0)</f>
        <v>624</v>
      </c>
    </row>
    <row r="6" spans="1:22" x14ac:dyDescent="0.25">
      <c r="A6" s="7" t="s">
        <v>42</v>
      </c>
      <c r="B6" s="7" t="s">
        <v>40</v>
      </c>
      <c r="C6" s="8" t="str">
        <f>IFERROR(INDEX(Lists!$B$5:$B$34,MATCH(B6,Lists!$A$5:$A$34,0)),"")</f>
        <v>Avery Abbott</v>
      </c>
      <c r="D6" s="8" t="str">
        <f>IFERROR(INDEX(Lists!$C$5:$C$34,MATCH(B6,Lists!$A$5:$A$34,0)),"")</f>
        <v>Project Coordinator</v>
      </c>
      <c r="E6" s="9">
        <v>46280</v>
      </c>
      <c r="F6" s="10" t="str">
        <f t="shared" si="0"/>
        <v>Tue</v>
      </c>
      <c r="G6" s="7" t="s">
        <v>41</v>
      </c>
      <c r="H6" s="8" t="str">
        <f>IFERROR(INDEX(Lists!$F$5:$F$9,MATCH(G6,Lists!$E$5:$E$9,0)),"")</f>
        <v>Alder Energy (fictional)</v>
      </c>
      <c r="I6" s="8" t="str">
        <f>IFERROR(INDEX(Lists!$G$5:$G$9,MATCH(G6,Lists!$E$5:$E$9,0)),"")</f>
        <v>Y</v>
      </c>
      <c r="J6" s="11">
        <v>8</v>
      </c>
      <c r="K6" s="12">
        <v>78</v>
      </c>
      <c r="L6" s="13">
        <f>IF(I6&lt;&gt;"Y","",IFERROR(INDEX(Lists!$L$5:$L$20,MATCH(D6&amp;"|"&amp;G6,Lists!$I$5:$I$20,0)),""))</f>
        <v>78</v>
      </c>
      <c r="M6" s="10" t="str">
        <f t="shared" si="1"/>
        <v>E001|20260915|P101</v>
      </c>
      <c r="N6" s="10" t="str">
        <f>IF(COUNTIFS($M$5:M6,M6)&gt;1,"DUPLICATE","")</f>
        <v/>
      </c>
      <c r="O6" s="10" t="str">
        <f t="shared" si="2"/>
        <v/>
      </c>
      <c r="P6" s="10" t="str">
        <f t="shared" si="3"/>
        <v/>
      </c>
      <c r="Q6" s="10" t="str">
        <f>IF(COUNTIF(Lists!$E$5:$E$9,G6)=0,"PROJECT?","")</f>
        <v/>
      </c>
      <c r="R6" s="10" t="str">
        <f t="shared" si="4"/>
        <v/>
      </c>
      <c r="S6" s="10" t="str">
        <f>IF(AND(I6="Y",N6="",COUNTIF(Billing_Data!$H$5:$H$319,M6)=0),"NOT BILLED","")</f>
        <v/>
      </c>
      <c r="T6" s="14">
        <f t="shared" si="5"/>
        <v>0</v>
      </c>
      <c r="U6" s="15">
        <f t="shared" si="6"/>
        <v>624</v>
      </c>
    </row>
    <row r="7" spans="1:22" x14ac:dyDescent="0.25">
      <c r="A7" s="7" t="s">
        <v>43</v>
      </c>
      <c r="B7" s="7" t="s">
        <v>40</v>
      </c>
      <c r="C7" s="8" t="str">
        <f>IFERROR(INDEX(Lists!$B$5:$B$34,MATCH(B7,Lists!$A$5:$A$34,0)),"")</f>
        <v>Avery Abbott</v>
      </c>
      <c r="D7" s="8" t="str">
        <f>IFERROR(INDEX(Lists!$C$5:$C$34,MATCH(B7,Lists!$A$5:$A$34,0)),"")</f>
        <v>Project Coordinator</v>
      </c>
      <c r="E7" s="9">
        <v>46281</v>
      </c>
      <c r="F7" s="10" t="str">
        <f t="shared" si="0"/>
        <v>Wed</v>
      </c>
      <c r="G7" s="7" t="s">
        <v>41</v>
      </c>
      <c r="H7" s="8" t="str">
        <f>IFERROR(INDEX(Lists!$F$5:$F$9,MATCH(G7,Lists!$E$5:$E$9,0)),"")</f>
        <v>Alder Energy (fictional)</v>
      </c>
      <c r="I7" s="8" t="str">
        <f>IFERROR(INDEX(Lists!$G$5:$G$9,MATCH(G7,Lists!$E$5:$E$9,0)),"")</f>
        <v>Y</v>
      </c>
      <c r="J7" s="11">
        <v>8</v>
      </c>
      <c r="K7" s="12">
        <v>78</v>
      </c>
      <c r="L7" s="13">
        <f>IF(I7&lt;&gt;"Y","",IFERROR(INDEX(Lists!$L$5:$L$20,MATCH(D7&amp;"|"&amp;G7,Lists!$I$5:$I$20,0)),""))</f>
        <v>78</v>
      </c>
      <c r="M7" s="10" t="str">
        <f t="shared" si="1"/>
        <v>E001|20260916|P101</v>
      </c>
      <c r="N7" s="10" t="str">
        <f>IF(COUNTIFS($M$5:M7,M7)&gt;1,"DUPLICATE","")</f>
        <v/>
      </c>
      <c r="O7" s="10" t="str">
        <f t="shared" si="2"/>
        <v/>
      </c>
      <c r="P7" s="10" t="str">
        <f t="shared" si="3"/>
        <v/>
      </c>
      <c r="Q7" s="10" t="str">
        <f>IF(COUNTIF(Lists!$E$5:$E$9,G7)=0,"PROJECT?","")</f>
        <v/>
      </c>
      <c r="R7" s="10" t="str">
        <f t="shared" si="4"/>
        <v/>
      </c>
      <c r="S7" s="10" t="str">
        <f>IF(AND(I7="Y",N7="",COUNTIF(Billing_Data!$H$5:$H$319,M7)=0),"NOT BILLED","")</f>
        <v/>
      </c>
      <c r="T7" s="14">
        <f t="shared" si="5"/>
        <v>0</v>
      </c>
      <c r="U7" s="15">
        <f t="shared" si="6"/>
        <v>624</v>
      </c>
    </row>
    <row r="8" spans="1:22" x14ac:dyDescent="0.25">
      <c r="A8" s="7" t="s">
        <v>44</v>
      </c>
      <c r="B8" s="7" t="s">
        <v>40</v>
      </c>
      <c r="C8" s="8" t="str">
        <f>IFERROR(INDEX(Lists!$B$5:$B$34,MATCH(B8,Lists!$A$5:$A$34,0)),"")</f>
        <v>Avery Abbott</v>
      </c>
      <c r="D8" s="8" t="str">
        <f>IFERROR(INDEX(Lists!$C$5:$C$34,MATCH(B8,Lists!$A$5:$A$34,0)),"")</f>
        <v>Project Coordinator</v>
      </c>
      <c r="E8" s="9">
        <v>46282</v>
      </c>
      <c r="F8" s="10" t="str">
        <f t="shared" si="0"/>
        <v>Thu</v>
      </c>
      <c r="G8" s="7" t="s">
        <v>41</v>
      </c>
      <c r="H8" s="8" t="str">
        <f>IFERROR(INDEX(Lists!$F$5:$F$9,MATCH(G8,Lists!$E$5:$E$9,0)),"")</f>
        <v>Alder Energy (fictional)</v>
      </c>
      <c r="I8" s="8" t="str">
        <f>IFERROR(INDEX(Lists!$G$5:$G$9,MATCH(G8,Lists!$E$5:$E$9,0)),"")</f>
        <v>Y</v>
      </c>
      <c r="J8" s="11">
        <v>4</v>
      </c>
      <c r="K8" s="12">
        <v>78</v>
      </c>
      <c r="L8" s="13">
        <f>IF(I8&lt;&gt;"Y","",IFERROR(INDEX(Lists!$L$5:$L$20,MATCH(D8&amp;"|"&amp;G8,Lists!$I$5:$I$20,0)),""))</f>
        <v>78</v>
      </c>
      <c r="M8" s="10" t="str">
        <f t="shared" si="1"/>
        <v>E001|20260917|P101</v>
      </c>
      <c r="N8" s="10" t="str">
        <f>IF(COUNTIFS($M$5:M8,M8)&gt;1,"DUPLICATE","")</f>
        <v/>
      </c>
      <c r="O8" s="10" t="str">
        <f t="shared" si="2"/>
        <v/>
      </c>
      <c r="P8" s="10" t="str">
        <f t="shared" si="3"/>
        <v/>
      </c>
      <c r="Q8" s="10" t="str">
        <f>IF(COUNTIF(Lists!$E$5:$E$9,G8)=0,"PROJECT?","")</f>
        <v/>
      </c>
      <c r="R8" s="10" t="str">
        <f t="shared" si="4"/>
        <v/>
      </c>
      <c r="S8" s="10" t="str">
        <f>IF(AND(I8="Y",N8="",COUNTIF(Billing_Data!$H$5:$H$319,M8)=0),"NOT BILLED","")</f>
        <v/>
      </c>
      <c r="T8" s="14">
        <f t="shared" si="5"/>
        <v>0</v>
      </c>
      <c r="U8" s="15">
        <f t="shared" si="6"/>
        <v>312</v>
      </c>
    </row>
    <row r="9" spans="1:22" x14ac:dyDescent="0.25">
      <c r="A9" s="7" t="s">
        <v>45</v>
      </c>
      <c r="B9" s="7" t="s">
        <v>40</v>
      </c>
      <c r="C9" s="8" t="str">
        <f>IFERROR(INDEX(Lists!$B$5:$B$34,MATCH(B9,Lists!$A$5:$A$34,0)),"")</f>
        <v>Avery Abbott</v>
      </c>
      <c r="D9" s="8" t="str">
        <f>IFERROR(INDEX(Lists!$C$5:$C$34,MATCH(B9,Lists!$A$5:$A$34,0)),"")</f>
        <v>Project Coordinator</v>
      </c>
      <c r="E9" s="9">
        <v>46282</v>
      </c>
      <c r="F9" s="10" t="str">
        <f t="shared" si="0"/>
        <v>Thu</v>
      </c>
      <c r="G9" s="7" t="s">
        <v>46</v>
      </c>
      <c r="H9" s="8" t="str">
        <f>IFERROR(INDEX(Lists!$F$5:$F$9,MATCH(G9,Lists!$E$5:$E$9,0)),"")</f>
        <v>Birchwood Midstream (fictional)</v>
      </c>
      <c r="I9" s="8" t="str">
        <f>IFERROR(INDEX(Lists!$G$5:$G$9,MATCH(G9,Lists!$E$5:$E$9,0)),"")</f>
        <v>Y</v>
      </c>
      <c r="J9" s="11">
        <v>4</v>
      </c>
      <c r="K9" s="12">
        <v>82</v>
      </c>
      <c r="L9" s="13">
        <f>IF(I9&lt;&gt;"Y","",IFERROR(INDEX(Lists!$L$5:$L$20,MATCH(D9&amp;"|"&amp;G9,Lists!$I$5:$I$20,0)),""))</f>
        <v>82</v>
      </c>
      <c r="M9" s="10" t="str">
        <f t="shared" si="1"/>
        <v>E001|20260917|P102</v>
      </c>
      <c r="N9" s="10" t="str">
        <f>IF(COUNTIFS($M$5:M9,M9)&gt;1,"DUPLICATE","")</f>
        <v/>
      </c>
      <c r="O9" s="10" t="str">
        <f t="shared" si="2"/>
        <v/>
      </c>
      <c r="P9" s="10" t="str">
        <f t="shared" si="3"/>
        <v/>
      </c>
      <c r="Q9" s="10" t="str">
        <f>IF(COUNTIF(Lists!$E$5:$E$9,G9)=0,"PROJECT?","")</f>
        <v/>
      </c>
      <c r="R9" s="10" t="str">
        <f t="shared" si="4"/>
        <v/>
      </c>
      <c r="S9" s="10" t="str">
        <f>IF(AND(I9="Y",N9="",COUNTIF(Billing_Data!$H$5:$H$319,M9)=0),"NOT BILLED","")</f>
        <v/>
      </c>
      <c r="T9" s="14">
        <f t="shared" si="5"/>
        <v>0</v>
      </c>
      <c r="U9" s="15">
        <f t="shared" si="6"/>
        <v>328</v>
      </c>
    </row>
    <row r="10" spans="1:22" x14ac:dyDescent="0.25">
      <c r="A10" s="7" t="s">
        <v>47</v>
      </c>
      <c r="B10" s="7" t="s">
        <v>40</v>
      </c>
      <c r="C10" s="8" t="str">
        <f>IFERROR(INDEX(Lists!$B$5:$B$34,MATCH(B10,Lists!$A$5:$A$34,0)),"")</f>
        <v>Avery Abbott</v>
      </c>
      <c r="D10" s="8" t="str">
        <f>IFERROR(INDEX(Lists!$C$5:$C$34,MATCH(B10,Lists!$A$5:$A$34,0)),"")</f>
        <v>Project Coordinator</v>
      </c>
      <c r="E10" s="9">
        <v>46283</v>
      </c>
      <c r="F10" s="10" t="str">
        <f t="shared" si="0"/>
        <v>Fri</v>
      </c>
      <c r="G10" s="7" t="s">
        <v>41</v>
      </c>
      <c r="H10" s="8" t="str">
        <f>IFERROR(INDEX(Lists!$F$5:$F$9,MATCH(G10,Lists!$E$5:$E$9,0)),"")</f>
        <v>Alder Energy (fictional)</v>
      </c>
      <c r="I10" s="8" t="str">
        <f>IFERROR(INDEX(Lists!$G$5:$G$9,MATCH(G10,Lists!$E$5:$E$9,0)),"")</f>
        <v>Y</v>
      </c>
      <c r="J10" s="11">
        <v>8</v>
      </c>
      <c r="K10" s="12">
        <v>78</v>
      </c>
      <c r="L10" s="13">
        <f>IF(I10&lt;&gt;"Y","",IFERROR(INDEX(Lists!$L$5:$L$20,MATCH(D10&amp;"|"&amp;G10,Lists!$I$5:$I$20,0)),""))</f>
        <v>78</v>
      </c>
      <c r="M10" s="10" t="str">
        <f t="shared" si="1"/>
        <v>E001|20260918|P101</v>
      </c>
      <c r="N10" s="10" t="str">
        <f>IF(COUNTIFS($M$5:M10,M10)&gt;1,"DUPLICATE","")</f>
        <v/>
      </c>
      <c r="O10" s="10" t="str">
        <f t="shared" si="2"/>
        <v/>
      </c>
      <c r="P10" s="10" t="str">
        <f t="shared" si="3"/>
        <v/>
      </c>
      <c r="Q10" s="10" t="str">
        <f>IF(COUNTIF(Lists!$E$5:$E$9,G10)=0,"PROJECT?","")</f>
        <v/>
      </c>
      <c r="R10" s="10" t="str">
        <f t="shared" si="4"/>
        <v/>
      </c>
      <c r="S10" s="10" t="str">
        <f>IF(AND(I10="Y",N10="",COUNTIF(Billing_Data!$H$5:$H$319,M10)=0),"NOT BILLED","")</f>
        <v/>
      </c>
      <c r="T10" s="14">
        <f t="shared" si="5"/>
        <v>0</v>
      </c>
      <c r="U10" s="15">
        <f t="shared" si="6"/>
        <v>624</v>
      </c>
    </row>
    <row r="11" spans="1:22" x14ac:dyDescent="0.25">
      <c r="A11" s="7" t="s">
        <v>48</v>
      </c>
      <c r="B11" s="7" t="s">
        <v>40</v>
      </c>
      <c r="C11" s="8" t="str">
        <f>IFERROR(INDEX(Lists!$B$5:$B$34,MATCH(B11,Lists!$A$5:$A$34,0)),"")</f>
        <v>Avery Abbott</v>
      </c>
      <c r="D11" s="8" t="str">
        <f>IFERROR(INDEX(Lists!$C$5:$C$34,MATCH(B11,Lists!$A$5:$A$34,0)),"")</f>
        <v>Project Coordinator</v>
      </c>
      <c r="E11" s="9">
        <v>46286</v>
      </c>
      <c r="F11" s="10" t="str">
        <f t="shared" si="0"/>
        <v>Mon</v>
      </c>
      <c r="G11" s="7" t="s">
        <v>41</v>
      </c>
      <c r="H11" s="8" t="str">
        <f>IFERROR(INDEX(Lists!$F$5:$F$9,MATCH(G11,Lists!$E$5:$E$9,0)),"")</f>
        <v>Alder Energy (fictional)</v>
      </c>
      <c r="I11" s="8" t="str">
        <f>IFERROR(INDEX(Lists!$G$5:$G$9,MATCH(G11,Lists!$E$5:$E$9,0)),"")</f>
        <v>Y</v>
      </c>
      <c r="J11" s="11">
        <v>4</v>
      </c>
      <c r="K11" s="12">
        <v>78</v>
      </c>
      <c r="L11" s="13">
        <f>IF(I11&lt;&gt;"Y","",IFERROR(INDEX(Lists!$L$5:$L$20,MATCH(D11&amp;"|"&amp;G11,Lists!$I$5:$I$20,0)),""))</f>
        <v>78</v>
      </c>
      <c r="M11" s="10" t="str">
        <f t="shared" si="1"/>
        <v>E001|20260921|P101</v>
      </c>
      <c r="N11" s="10" t="str">
        <f>IF(COUNTIFS($M$5:M11,M11)&gt;1,"DUPLICATE","")</f>
        <v/>
      </c>
      <c r="O11" s="10" t="str">
        <f t="shared" si="2"/>
        <v/>
      </c>
      <c r="P11" s="10" t="str">
        <f t="shared" si="3"/>
        <v/>
      </c>
      <c r="Q11" s="10" t="str">
        <f>IF(COUNTIF(Lists!$E$5:$E$9,G11)=0,"PROJECT?","")</f>
        <v/>
      </c>
      <c r="R11" s="10" t="str">
        <f t="shared" si="4"/>
        <v/>
      </c>
      <c r="S11" s="10" t="str">
        <f>IF(AND(I11="Y",N11="",COUNTIF(Billing_Data!$H$5:$H$319,M11)=0),"NOT BILLED","")</f>
        <v/>
      </c>
      <c r="T11" s="14">
        <f t="shared" si="5"/>
        <v>0</v>
      </c>
      <c r="U11" s="15">
        <f t="shared" si="6"/>
        <v>312</v>
      </c>
    </row>
    <row r="12" spans="1:22" x14ac:dyDescent="0.25">
      <c r="A12" s="7" t="s">
        <v>49</v>
      </c>
      <c r="B12" s="7" t="s">
        <v>40</v>
      </c>
      <c r="C12" s="8" t="str">
        <f>IFERROR(INDEX(Lists!$B$5:$B$34,MATCH(B12,Lists!$A$5:$A$34,0)),"")</f>
        <v>Avery Abbott</v>
      </c>
      <c r="D12" s="8" t="str">
        <f>IFERROR(INDEX(Lists!$C$5:$C$34,MATCH(B12,Lists!$A$5:$A$34,0)),"")</f>
        <v>Project Coordinator</v>
      </c>
      <c r="E12" s="9">
        <v>46286</v>
      </c>
      <c r="F12" s="10" t="str">
        <f t="shared" si="0"/>
        <v>Mon</v>
      </c>
      <c r="G12" s="7" t="s">
        <v>50</v>
      </c>
      <c r="H12" s="8" t="str">
        <f>IFERROR(INDEX(Lists!$F$5:$F$9,MATCH(G12,Lists!$E$5:$E$9,0)),"")</f>
        <v>Cedar Industrial (fictional)</v>
      </c>
      <c r="I12" s="8" t="str">
        <f>IFERROR(INDEX(Lists!$G$5:$G$9,MATCH(G12,Lists!$E$5:$E$9,0)),"")</f>
        <v>Y</v>
      </c>
      <c r="J12" s="11">
        <v>4</v>
      </c>
      <c r="K12" s="12">
        <v>74</v>
      </c>
      <c r="L12" s="13">
        <f>IF(I12&lt;&gt;"Y","",IFERROR(INDEX(Lists!$L$5:$L$20,MATCH(D12&amp;"|"&amp;G12,Lists!$I$5:$I$20,0)),""))</f>
        <v>74</v>
      </c>
      <c r="M12" s="10" t="str">
        <f t="shared" si="1"/>
        <v>E001|20260921|P103</v>
      </c>
      <c r="N12" s="10" t="str">
        <f>IF(COUNTIFS($M$5:M12,M12)&gt;1,"DUPLICATE","")</f>
        <v/>
      </c>
      <c r="O12" s="10" t="str">
        <f t="shared" si="2"/>
        <v/>
      </c>
      <c r="P12" s="10" t="str">
        <f t="shared" si="3"/>
        <v/>
      </c>
      <c r="Q12" s="10" t="str">
        <f>IF(COUNTIF(Lists!$E$5:$E$9,G12)=0,"PROJECT?","")</f>
        <v/>
      </c>
      <c r="R12" s="10" t="str">
        <f t="shared" si="4"/>
        <v/>
      </c>
      <c r="S12" s="10" t="str">
        <f>IF(AND(I12="Y",N12="",COUNTIF(Billing_Data!$H$5:$H$319,M12)=0),"NOT BILLED","")</f>
        <v/>
      </c>
      <c r="T12" s="14">
        <f t="shared" si="5"/>
        <v>0</v>
      </c>
      <c r="U12" s="15">
        <f t="shared" si="6"/>
        <v>296</v>
      </c>
    </row>
    <row r="13" spans="1:22" x14ac:dyDescent="0.25">
      <c r="A13" s="7" t="s">
        <v>51</v>
      </c>
      <c r="B13" s="7" t="s">
        <v>40</v>
      </c>
      <c r="C13" s="8" t="str">
        <f>IFERROR(INDEX(Lists!$B$5:$B$34,MATCH(B13,Lists!$A$5:$A$34,0)),"")</f>
        <v>Avery Abbott</v>
      </c>
      <c r="D13" s="8" t="str">
        <f>IFERROR(INDEX(Lists!$C$5:$C$34,MATCH(B13,Lists!$A$5:$A$34,0)),"")</f>
        <v>Project Coordinator</v>
      </c>
      <c r="E13" s="9">
        <v>46287</v>
      </c>
      <c r="F13" s="10" t="str">
        <f t="shared" si="0"/>
        <v>Tue</v>
      </c>
      <c r="G13" s="7" t="s">
        <v>41</v>
      </c>
      <c r="H13" s="8" t="str">
        <f>IFERROR(INDEX(Lists!$F$5:$F$9,MATCH(G13,Lists!$E$5:$E$9,0)),"")</f>
        <v>Alder Energy (fictional)</v>
      </c>
      <c r="I13" s="8" t="str">
        <f>IFERROR(INDEX(Lists!$G$5:$G$9,MATCH(G13,Lists!$E$5:$E$9,0)),"")</f>
        <v>Y</v>
      </c>
      <c r="J13" s="11">
        <v>4</v>
      </c>
      <c r="K13" s="12">
        <v>78</v>
      </c>
      <c r="L13" s="13">
        <f>IF(I13&lt;&gt;"Y","",IFERROR(INDEX(Lists!$L$5:$L$20,MATCH(D13&amp;"|"&amp;G13,Lists!$I$5:$I$20,0)),""))</f>
        <v>78</v>
      </c>
      <c r="M13" s="10" t="str">
        <f t="shared" si="1"/>
        <v>E001|20260922|P101</v>
      </c>
      <c r="N13" s="10" t="str">
        <f>IF(COUNTIFS($M$5:M13,M13)&gt;1,"DUPLICATE","")</f>
        <v/>
      </c>
      <c r="O13" s="10" t="str">
        <f t="shared" si="2"/>
        <v/>
      </c>
      <c r="P13" s="10" t="str">
        <f t="shared" si="3"/>
        <v/>
      </c>
      <c r="Q13" s="10" t="str">
        <f>IF(COUNTIF(Lists!$E$5:$E$9,G13)=0,"PROJECT?","")</f>
        <v/>
      </c>
      <c r="R13" s="10" t="str">
        <f t="shared" si="4"/>
        <v/>
      </c>
      <c r="S13" s="10" t="str">
        <f>IF(AND(I13="Y",N13="",COUNTIF(Billing_Data!$H$5:$H$319,M13)=0),"NOT BILLED","")</f>
        <v/>
      </c>
      <c r="T13" s="14">
        <f t="shared" si="5"/>
        <v>0</v>
      </c>
      <c r="U13" s="15">
        <f t="shared" si="6"/>
        <v>312</v>
      </c>
    </row>
    <row r="14" spans="1:22" x14ac:dyDescent="0.25">
      <c r="A14" s="7" t="s">
        <v>52</v>
      </c>
      <c r="B14" s="7" t="s">
        <v>40</v>
      </c>
      <c r="C14" s="8" t="str">
        <f>IFERROR(INDEX(Lists!$B$5:$B$34,MATCH(B14,Lists!$A$5:$A$34,0)),"")</f>
        <v>Avery Abbott</v>
      </c>
      <c r="D14" s="8" t="str">
        <f>IFERROR(INDEX(Lists!$C$5:$C$34,MATCH(B14,Lists!$A$5:$A$34,0)),"")</f>
        <v>Project Coordinator</v>
      </c>
      <c r="E14" s="9">
        <v>46287</v>
      </c>
      <c r="F14" s="10" t="str">
        <f t="shared" si="0"/>
        <v>Tue</v>
      </c>
      <c r="G14" s="7" t="s">
        <v>53</v>
      </c>
      <c r="H14" s="8" t="str">
        <f>IFERROR(INDEX(Lists!$F$5:$F$9,MATCH(G14,Lists!$E$5:$E$9,0)),"")</f>
        <v>Internal / non-billable</v>
      </c>
      <c r="I14" s="8" t="str">
        <f>IFERROR(INDEX(Lists!$G$5:$G$9,MATCH(G14,Lists!$E$5:$E$9,0)),"")</f>
        <v>N</v>
      </c>
      <c r="J14" s="11">
        <v>4</v>
      </c>
      <c r="K14" s="12">
        <v>0</v>
      </c>
      <c r="L14" s="13" t="str">
        <f>IF(I14&lt;&gt;"Y","",IFERROR(INDEX(Lists!$L$5:$L$20,MATCH(D14&amp;"|"&amp;G14,Lists!$I$5:$I$20,0)),""))</f>
        <v/>
      </c>
      <c r="M14" s="10" t="str">
        <f t="shared" si="1"/>
        <v>E001|20260922|INT-001</v>
      </c>
      <c r="N14" s="10" t="str">
        <f>IF(COUNTIFS($M$5:M14,M14)&gt;1,"DUPLICATE","")</f>
        <v/>
      </c>
      <c r="O14" s="10" t="str">
        <f t="shared" si="2"/>
        <v/>
      </c>
      <c r="P14" s="10" t="str">
        <f t="shared" si="3"/>
        <v/>
      </c>
      <c r="Q14" s="10" t="str">
        <f>IF(COUNTIF(Lists!$E$5:$E$9,G14)=0,"PROJECT?","")</f>
        <v/>
      </c>
      <c r="R14" s="10" t="str">
        <f t="shared" si="4"/>
        <v/>
      </c>
      <c r="S14" s="10" t="str">
        <f>IF(AND(I14="Y",N14="",COUNTIF(Billing_Data!$H$5:$H$319,M14)=0),"NOT BILLED","")</f>
        <v/>
      </c>
      <c r="T14" s="14">
        <f t="shared" si="5"/>
        <v>0</v>
      </c>
      <c r="U14" s="15">
        <f t="shared" si="6"/>
        <v>0</v>
      </c>
    </row>
    <row r="15" spans="1:22" x14ac:dyDescent="0.25">
      <c r="A15" s="7" t="s">
        <v>54</v>
      </c>
      <c r="B15" s="7" t="s">
        <v>40</v>
      </c>
      <c r="C15" s="8" t="str">
        <f>IFERROR(INDEX(Lists!$B$5:$B$34,MATCH(B15,Lists!$A$5:$A$34,0)),"")</f>
        <v>Avery Abbott</v>
      </c>
      <c r="D15" s="8" t="str">
        <f>IFERROR(INDEX(Lists!$C$5:$C$34,MATCH(B15,Lists!$A$5:$A$34,0)),"")</f>
        <v>Project Coordinator</v>
      </c>
      <c r="E15" s="9">
        <v>46288</v>
      </c>
      <c r="F15" s="10" t="str">
        <f t="shared" si="0"/>
        <v>Wed</v>
      </c>
      <c r="G15" s="7" t="s">
        <v>41</v>
      </c>
      <c r="H15" s="8" t="str">
        <f>IFERROR(INDEX(Lists!$F$5:$F$9,MATCH(G15,Lists!$E$5:$E$9,0)),"")</f>
        <v>Alder Energy (fictional)</v>
      </c>
      <c r="I15" s="8" t="str">
        <f>IFERROR(INDEX(Lists!$G$5:$G$9,MATCH(G15,Lists!$E$5:$E$9,0)),"")</f>
        <v>Y</v>
      </c>
      <c r="J15" s="11">
        <v>8</v>
      </c>
      <c r="K15" s="12">
        <v>78</v>
      </c>
      <c r="L15" s="13">
        <f>IF(I15&lt;&gt;"Y","",IFERROR(INDEX(Lists!$L$5:$L$20,MATCH(D15&amp;"|"&amp;G15,Lists!$I$5:$I$20,0)),""))</f>
        <v>78</v>
      </c>
      <c r="M15" s="10" t="str">
        <f t="shared" si="1"/>
        <v>E001|20260923|P101</v>
      </c>
      <c r="N15" s="10" t="str">
        <f>IF(COUNTIFS($M$5:M15,M15)&gt;1,"DUPLICATE","")</f>
        <v/>
      </c>
      <c r="O15" s="10" t="str">
        <f t="shared" si="2"/>
        <v/>
      </c>
      <c r="P15" s="10" t="str">
        <f t="shared" si="3"/>
        <v/>
      </c>
      <c r="Q15" s="10" t="str">
        <f>IF(COUNTIF(Lists!$E$5:$E$9,G15)=0,"PROJECT?","")</f>
        <v/>
      </c>
      <c r="R15" s="10" t="str">
        <f t="shared" si="4"/>
        <v/>
      </c>
      <c r="S15" s="10" t="str">
        <f>IF(AND(I15="Y",N15="",COUNTIF(Billing_Data!$H$5:$H$319,M15)=0),"NOT BILLED","")</f>
        <v/>
      </c>
      <c r="T15" s="14">
        <f t="shared" si="5"/>
        <v>0</v>
      </c>
      <c r="U15" s="15">
        <f t="shared" si="6"/>
        <v>624</v>
      </c>
    </row>
    <row r="16" spans="1:22" x14ac:dyDescent="0.25">
      <c r="A16" s="7" t="s">
        <v>55</v>
      </c>
      <c r="B16" s="7" t="s">
        <v>40</v>
      </c>
      <c r="C16" s="8" t="str">
        <f>IFERROR(INDEX(Lists!$B$5:$B$34,MATCH(B16,Lists!$A$5:$A$34,0)),"")</f>
        <v>Avery Abbott</v>
      </c>
      <c r="D16" s="8" t="str">
        <f>IFERROR(INDEX(Lists!$C$5:$C$34,MATCH(B16,Lists!$A$5:$A$34,0)),"")</f>
        <v>Project Coordinator</v>
      </c>
      <c r="E16" s="9">
        <v>46289</v>
      </c>
      <c r="F16" s="10" t="str">
        <f t="shared" si="0"/>
        <v>Thu</v>
      </c>
      <c r="G16" s="7" t="s">
        <v>41</v>
      </c>
      <c r="H16" s="8" t="str">
        <f>IFERROR(INDEX(Lists!$F$5:$F$9,MATCH(G16,Lists!$E$5:$E$9,0)),"")</f>
        <v>Alder Energy (fictional)</v>
      </c>
      <c r="I16" s="8" t="str">
        <f>IFERROR(INDEX(Lists!$G$5:$G$9,MATCH(G16,Lists!$E$5:$E$9,0)),"")</f>
        <v>Y</v>
      </c>
      <c r="J16" s="11">
        <v>8</v>
      </c>
      <c r="K16" s="12">
        <v>78</v>
      </c>
      <c r="L16" s="13">
        <f>IF(I16&lt;&gt;"Y","",IFERROR(INDEX(Lists!$L$5:$L$20,MATCH(D16&amp;"|"&amp;G16,Lists!$I$5:$I$20,0)),""))</f>
        <v>78</v>
      </c>
      <c r="M16" s="10" t="str">
        <f t="shared" si="1"/>
        <v>E001|20260924|P101</v>
      </c>
      <c r="N16" s="10" t="str">
        <f>IF(COUNTIFS($M$5:M16,M16)&gt;1,"DUPLICATE","")</f>
        <v/>
      </c>
      <c r="O16" s="10" t="str">
        <f t="shared" si="2"/>
        <v/>
      </c>
      <c r="P16" s="10" t="str">
        <f t="shared" si="3"/>
        <v/>
      </c>
      <c r="Q16" s="10" t="str">
        <f>IF(COUNTIF(Lists!$E$5:$E$9,G16)=0,"PROJECT?","")</f>
        <v/>
      </c>
      <c r="R16" s="10" t="str">
        <f t="shared" si="4"/>
        <v/>
      </c>
      <c r="S16" s="10" t="str">
        <f>IF(AND(I16="Y",N16="",COUNTIF(Billing_Data!$H$5:$H$319,M16)=0),"NOT BILLED","")</f>
        <v/>
      </c>
      <c r="T16" s="14">
        <f t="shared" si="5"/>
        <v>0</v>
      </c>
      <c r="U16" s="15">
        <f t="shared" si="6"/>
        <v>624</v>
      </c>
    </row>
    <row r="17" spans="1:21" x14ac:dyDescent="0.25">
      <c r="A17" s="7" t="s">
        <v>56</v>
      </c>
      <c r="B17" s="7" t="s">
        <v>40</v>
      </c>
      <c r="C17" s="8" t="str">
        <f>IFERROR(INDEX(Lists!$B$5:$B$34,MATCH(B17,Lists!$A$5:$A$34,0)),"")</f>
        <v>Avery Abbott</v>
      </c>
      <c r="D17" s="8" t="str">
        <f>IFERROR(INDEX(Lists!$C$5:$C$34,MATCH(B17,Lists!$A$5:$A$34,0)),"")</f>
        <v>Project Coordinator</v>
      </c>
      <c r="E17" s="9">
        <v>46290</v>
      </c>
      <c r="F17" s="10" t="str">
        <f t="shared" si="0"/>
        <v>Fri</v>
      </c>
      <c r="G17" s="7" t="s">
        <v>41</v>
      </c>
      <c r="H17" s="8" t="str">
        <f>IFERROR(INDEX(Lists!$F$5:$F$9,MATCH(G17,Lists!$E$5:$E$9,0)),"")</f>
        <v>Alder Energy (fictional)</v>
      </c>
      <c r="I17" s="8" t="str">
        <f>IFERROR(INDEX(Lists!$G$5:$G$9,MATCH(G17,Lists!$E$5:$E$9,0)),"")</f>
        <v>Y</v>
      </c>
      <c r="J17" s="11">
        <v>8</v>
      </c>
      <c r="K17" s="12">
        <v>78</v>
      </c>
      <c r="L17" s="13">
        <f>IF(I17&lt;&gt;"Y","",IFERROR(INDEX(Lists!$L$5:$L$20,MATCH(D17&amp;"|"&amp;G17,Lists!$I$5:$I$20,0)),""))</f>
        <v>78</v>
      </c>
      <c r="M17" s="10" t="str">
        <f t="shared" si="1"/>
        <v>E001|20260925|P101</v>
      </c>
      <c r="N17" s="10" t="str">
        <f>IF(COUNTIFS($M$5:M17,M17)&gt;1,"DUPLICATE","")</f>
        <v/>
      </c>
      <c r="O17" s="10" t="str">
        <f t="shared" si="2"/>
        <v/>
      </c>
      <c r="P17" s="10" t="str">
        <f t="shared" si="3"/>
        <v/>
      </c>
      <c r="Q17" s="10" t="str">
        <f>IF(COUNTIF(Lists!$E$5:$E$9,G17)=0,"PROJECT?","")</f>
        <v/>
      </c>
      <c r="R17" s="10" t="str">
        <f t="shared" si="4"/>
        <v/>
      </c>
      <c r="S17" s="10" t="str">
        <f>IF(AND(I17="Y",N17="",COUNTIF(Billing_Data!$H$5:$H$319,M17)=0),"NOT BILLED","")</f>
        <v/>
      </c>
      <c r="T17" s="14">
        <f t="shared" si="5"/>
        <v>0</v>
      </c>
      <c r="U17" s="15">
        <f t="shared" si="6"/>
        <v>624</v>
      </c>
    </row>
    <row r="18" spans="1:21" x14ac:dyDescent="0.25">
      <c r="A18" s="7" t="s">
        <v>57</v>
      </c>
      <c r="B18" s="7" t="s">
        <v>58</v>
      </c>
      <c r="C18" s="8" t="str">
        <f>IFERROR(INDEX(Lists!$B$5:$B$34,MATCH(B18,Lists!$A$5:$A$34,0)),"")</f>
        <v>Jordan Brennan</v>
      </c>
      <c r="D18" s="8" t="str">
        <f>IFERROR(INDEX(Lists!$C$5:$C$34,MATCH(B18,Lists!$A$5:$A$34,0)),"")</f>
        <v>Project Coordinator</v>
      </c>
      <c r="E18" s="9">
        <v>46279</v>
      </c>
      <c r="F18" s="10" t="str">
        <f t="shared" si="0"/>
        <v>Mon</v>
      </c>
      <c r="G18" s="7" t="s">
        <v>46</v>
      </c>
      <c r="H18" s="8" t="str">
        <f>IFERROR(INDEX(Lists!$F$5:$F$9,MATCH(G18,Lists!$E$5:$E$9,0)),"")</f>
        <v>Birchwood Midstream (fictional)</v>
      </c>
      <c r="I18" s="8" t="str">
        <f>IFERROR(INDEX(Lists!$G$5:$G$9,MATCH(G18,Lists!$E$5:$E$9,0)),"")</f>
        <v>Y</v>
      </c>
      <c r="J18" s="11">
        <v>4</v>
      </c>
      <c r="K18" s="12">
        <v>82</v>
      </c>
      <c r="L18" s="13">
        <f>IF(I18&lt;&gt;"Y","",IFERROR(INDEX(Lists!$L$5:$L$20,MATCH(D18&amp;"|"&amp;G18,Lists!$I$5:$I$20,0)),""))</f>
        <v>82</v>
      </c>
      <c r="M18" s="10" t="str">
        <f t="shared" si="1"/>
        <v>E002|20260914|P102</v>
      </c>
      <c r="N18" s="10" t="str">
        <f>IF(COUNTIFS($M$5:M18,M18)&gt;1,"DUPLICATE","")</f>
        <v/>
      </c>
      <c r="O18" s="10" t="str">
        <f t="shared" si="2"/>
        <v/>
      </c>
      <c r="P18" s="10" t="str">
        <f t="shared" si="3"/>
        <v/>
      </c>
      <c r="Q18" s="10" t="str">
        <f>IF(COUNTIF(Lists!$E$5:$E$9,G18)=0,"PROJECT?","")</f>
        <v/>
      </c>
      <c r="R18" s="10" t="str">
        <f t="shared" si="4"/>
        <v/>
      </c>
      <c r="S18" s="10" t="str">
        <f>IF(AND(I18="Y",N18="",COUNTIF(Billing_Data!$H$5:$H$319,M18)=0),"NOT BILLED","")</f>
        <v/>
      </c>
      <c r="T18" s="14">
        <f t="shared" si="5"/>
        <v>0</v>
      </c>
      <c r="U18" s="15">
        <f t="shared" si="6"/>
        <v>328</v>
      </c>
    </row>
    <row r="19" spans="1:21" x14ac:dyDescent="0.25">
      <c r="A19" s="7" t="s">
        <v>59</v>
      </c>
      <c r="B19" s="7" t="s">
        <v>58</v>
      </c>
      <c r="C19" s="8" t="str">
        <f>IFERROR(INDEX(Lists!$B$5:$B$34,MATCH(B19,Lists!$A$5:$A$34,0)),"")</f>
        <v>Jordan Brennan</v>
      </c>
      <c r="D19" s="8" t="str">
        <f>IFERROR(INDEX(Lists!$C$5:$C$34,MATCH(B19,Lists!$A$5:$A$34,0)),"")</f>
        <v>Project Coordinator</v>
      </c>
      <c r="E19" s="9">
        <v>46279</v>
      </c>
      <c r="F19" s="10" t="str">
        <f t="shared" si="0"/>
        <v>Mon</v>
      </c>
      <c r="G19" s="7" t="s">
        <v>41</v>
      </c>
      <c r="H19" s="8" t="str">
        <f>IFERROR(INDEX(Lists!$F$5:$F$9,MATCH(G19,Lists!$E$5:$E$9,0)),"")</f>
        <v>Alder Energy (fictional)</v>
      </c>
      <c r="I19" s="8" t="str">
        <f>IFERROR(INDEX(Lists!$G$5:$G$9,MATCH(G19,Lists!$E$5:$E$9,0)),"")</f>
        <v>Y</v>
      </c>
      <c r="J19" s="11">
        <v>4</v>
      </c>
      <c r="K19" s="12">
        <v>78</v>
      </c>
      <c r="L19" s="13">
        <f>IF(I19&lt;&gt;"Y","",IFERROR(INDEX(Lists!$L$5:$L$20,MATCH(D19&amp;"|"&amp;G19,Lists!$I$5:$I$20,0)),""))</f>
        <v>78</v>
      </c>
      <c r="M19" s="10" t="str">
        <f t="shared" si="1"/>
        <v>E002|20260914|P101</v>
      </c>
      <c r="N19" s="10" t="str">
        <f>IF(COUNTIFS($M$5:M19,M19)&gt;1,"DUPLICATE","")</f>
        <v/>
      </c>
      <c r="O19" s="10" t="str">
        <f t="shared" si="2"/>
        <v/>
      </c>
      <c r="P19" s="10" t="str">
        <f t="shared" si="3"/>
        <v/>
      </c>
      <c r="Q19" s="10" t="str">
        <f>IF(COUNTIF(Lists!$E$5:$E$9,G19)=0,"PROJECT?","")</f>
        <v/>
      </c>
      <c r="R19" s="10" t="str">
        <f t="shared" si="4"/>
        <v/>
      </c>
      <c r="S19" s="10" t="str">
        <f>IF(AND(I19="Y",N19="",COUNTIF(Billing_Data!$H$5:$H$319,M19)=0),"NOT BILLED","")</f>
        <v/>
      </c>
      <c r="T19" s="14">
        <f t="shared" si="5"/>
        <v>0</v>
      </c>
      <c r="U19" s="15">
        <f t="shared" si="6"/>
        <v>312</v>
      </c>
    </row>
    <row r="20" spans="1:21" x14ac:dyDescent="0.25">
      <c r="A20" s="7" t="s">
        <v>60</v>
      </c>
      <c r="B20" s="7" t="s">
        <v>58</v>
      </c>
      <c r="C20" s="8" t="str">
        <f>IFERROR(INDEX(Lists!$B$5:$B$34,MATCH(B20,Lists!$A$5:$A$34,0)),"")</f>
        <v>Jordan Brennan</v>
      </c>
      <c r="D20" s="8" t="str">
        <f>IFERROR(INDEX(Lists!$C$5:$C$34,MATCH(B20,Lists!$A$5:$A$34,0)),"")</f>
        <v>Project Coordinator</v>
      </c>
      <c r="E20" s="9">
        <v>46281</v>
      </c>
      <c r="F20" s="10" t="str">
        <f t="shared" si="0"/>
        <v>Wed</v>
      </c>
      <c r="G20" s="7" t="s">
        <v>46</v>
      </c>
      <c r="H20" s="8" t="str">
        <f>IFERROR(INDEX(Lists!$F$5:$F$9,MATCH(G20,Lists!$E$5:$E$9,0)),"")</f>
        <v>Birchwood Midstream (fictional)</v>
      </c>
      <c r="I20" s="8" t="str">
        <f>IFERROR(INDEX(Lists!$G$5:$G$9,MATCH(G20,Lists!$E$5:$E$9,0)),"")</f>
        <v>Y</v>
      </c>
      <c r="J20" s="11">
        <v>8</v>
      </c>
      <c r="K20" s="12">
        <v>82</v>
      </c>
      <c r="L20" s="13">
        <f>IF(I20&lt;&gt;"Y","",IFERROR(INDEX(Lists!$L$5:$L$20,MATCH(D20&amp;"|"&amp;G20,Lists!$I$5:$I$20,0)),""))</f>
        <v>82</v>
      </c>
      <c r="M20" s="10" t="str">
        <f t="shared" si="1"/>
        <v>E002|20260916|P102</v>
      </c>
      <c r="N20" s="10" t="str">
        <f>IF(COUNTIFS($M$5:M20,M20)&gt;1,"DUPLICATE","")</f>
        <v/>
      </c>
      <c r="O20" s="10" t="str">
        <f t="shared" si="2"/>
        <v/>
      </c>
      <c r="P20" s="10" t="str">
        <f t="shared" si="3"/>
        <v/>
      </c>
      <c r="Q20" s="10" t="str">
        <f>IF(COUNTIF(Lists!$E$5:$E$9,G20)=0,"PROJECT?","")</f>
        <v/>
      </c>
      <c r="R20" s="10" t="str">
        <f t="shared" si="4"/>
        <v/>
      </c>
      <c r="S20" s="10" t="str">
        <f>IF(AND(I20="Y",N20="",COUNTIF(Billing_Data!$H$5:$H$319,M20)=0),"NOT BILLED","")</f>
        <v/>
      </c>
      <c r="T20" s="14">
        <f t="shared" si="5"/>
        <v>0</v>
      </c>
      <c r="U20" s="15">
        <f t="shared" si="6"/>
        <v>656</v>
      </c>
    </row>
    <row r="21" spans="1:21" x14ac:dyDescent="0.25">
      <c r="A21" s="7" t="s">
        <v>61</v>
      </c>
      <c r="B21" s="7" t="s">
        <v>58</v>
      </c>
      <c r="C21" s="8" t="str">
        <f>IFERROR(INDEX(Lists!$B$5:$B$34,MATCH(B21,Lists!$A$5:$A$34,0)),"")</f>
        <v>Jordan Brennan</v>
      </c>
      <c r="D21" s="8" t="str">
        <f>IFERROR(INDEX(Lists!$C$5:$C$34,MATCH(B21,Lists!$A$5:$A$34,0)),"")</f>
        <v>Project Coordinator</v>
      </c>
      <c r="E21" s="9">
        <v>46282</v>
      </c>
      <c r="F21" s="10" t="str">
        <f t="shared" si="0"/>
        <v>Thu</v>
      </c>
      <c r="G21" s="7" t="s">
        <v>46</v>
      </c>
      <c r="H21" s="8" t="str">
        <f>IFERROR(INDEX(Lists!$F$5:$F$9,MATCH(G21,Lists!$E$5:$E$9,0)),"")</f>
        <v>Birchwood Midstream (fictional)</v>
      </c>
      <c r="I21" s="8" t="str">
        <f>IFERROR(INDEX(Lists!$G$5:$G$9,MATCH(G21,Lists!$E$5:$E$9,0)),"")</f>
        <v>Y</v>
      </c>
      <c r="J21" s="11">
        <v>8</v>
      </c>
      <c r="K21" s="12">
        <v>82</v>
      </c>
      <c r="L21" s="13">
        <f>IF(I21&lt;&gt;"Y","",IFERROR(INDEX(Lists!$L$5:$L$20,MATCH(D21&amp;"|"&amp;G21,Lists!$I$5:$I$20,0)),""))</f>
        <v>82</v>
      </c>
      <c r="M21" s="10" t="str">
        <f t="shared" si="1"/>
        <v>E002|20260917|P102</v>
      </c>
      <c r="N21" s="10" t="str">
        <f>IF(COUNTIFS($M$5:M21,M21)&gt;1,"DUPLICATE","")</f>
        <v/>
      </c>
      <c r="O21" s="10" t="str">
        <f t="shared" si="2"/>
        <v/>
      </c>
      <c r="P21" s="10" t="str">
        <f t="shared" si="3"/>
        <v/>
      </c>
      <c r="Q21" s="10" t="str">
        <f>IF(COUNTIF(Lists!$E$5:$E$9,G21)=0,"PROJECT?","")</f>
        <v/>
      </c>
      <c r="R21" s="10" t="str">
        <f t="shared" si="4"/>
        <v/>
      </c>
      <c r="S21" s="10" t="str">
        <f>IF(AND(I21="Y",N21="",COUNTIF(Billing_Data!$H$5:$H$319,M21)=0),"NOT BILLED","")</f>
        <v/>
      </c>
      <c r="T21" s="14">
        <f t="shared" si="5"/>
        <v>0</v>
      </c>
      <c r="U21" s="15">
        <f t="shared" si="6"/>
        <v>656</v>
      </c>
    </row>
    <row r="22" spans="1:21" x14ac:dyDescent="0.25">
      <c r="A22" s="7" t="s">
        <v>62</v>
      </c>
      <c r="B22" s="7" t="s">
        <v>58</v>
      </c>
      <c r="C22" s="8" t="str">
        <f>IFERROR(INDEX(Lists!$B$5:$B$34,MATCH(B22,Lists!$A$5:$A$34,0)),"")</f>
        <v>Jordan Brennan</v>
      </c>
      <c r="D22" s="8" t="str">
        <f>IFERROR(INDEX(Lists!$C$5:$C$34,MATCH(B22,Lists!$A$5:$A$34,0)),"")</f>
        <v>Project Coordinator</v>
      </c>
      <c r="E22" s="9">
        <v>46283</v>
      </c>
      <c r="F22" s="10" t="str">
        <f t="shared" si="0"/>
        <v>Fri</v>
      </c>
      <c r="G22" s="7" t="s">
        <v>46</v>
      </c>
      <c r="H22" s="8" t="str">
        <f>IFERROR(INDEX(Lists!$F$5:$F$9,MATCH(G22,Lists!$E$5:$E$9,0)),"")</f>
        <v>Birchwood Midstream (fictional)</v>
      </c>
      <c r="I22" s="8" t="str">
        <f>IFERROR(INDEX(Lists!$G$5:$G$9,MATCH(G22,Lists!$E$5:$E$9,0)),"")</f>
        <v>Y</v>
      </c>
      <c r="J22" s="11">
        <v>8</v>
      </c>
      <c r="K22" s="12">
        <v>82</v>
      </c>
      <c r="L22" s="13">
        <f>IF(I22&lt;&gt;"Y","",IFERROR(INDEX(Lists!$L$5:$L$20,MATCH(D22&amp;"|"&amp;G22,Lists!$I$5:$I$20,0)),""))</f>
        <v>82</v>
      </c>
      <c r="M22" s="10" t="str">
        <f t="shared" si="1"/>
        <v>E002|20260918|P102</v>
      </c>
      <c r="N22" s="10" t="str">
        <f>IF(COUNTIFS($M$5:M22,M22)&gt;1,"DUPLICATE","")</f>
        <v/>
      </c>
      <c r="O22" s="10" t="str">
        <f t="shared" si="2"/>
        <v/>
      </c>
      <c r="P22" s="10" t="str">
        <f t="shared" si="3"/>
        <v/>
      </c>
      <c r="Q22" s="10" t="str">
        <f>IF(COUNTIF(Lists!$E$5:$E$9,G22)=0,"PROJECT?","")</f>
        <v/>
      </c>
      <c r="R22" s="10" t="str">
        <f t="shared" si="4"/>
        <v/>
      </c>
      <c r="S22" s="10" t="str">
        <f>IF(AND(I22="Y",N22="",COUNTIF(Billing_Data!$H$5:$H$319,M22)=0),"NOT BILLED","")</f>
        <v/>
      </c>
      <c r="T22" s="14">
        <f t="shared" si="5"/>
        <v>0</v>
      </c>
      <c r="U22" s="15">
        <f t="shared" si="6"/>
        <v>656</v>
      </c>
    </row>
    <row r="23" spans="1:21" x14ac:dyDescent="0.25">
      <c r="A23" s="7" t="s">
        <v>63</v>
      </c>
      <c r="B23" s="7" t="s">
        <v>58</v>
      </c>
      <c r="C23" s="8" t="str">
        <f>IFERROR(INDEX(Lists!$B$5:$B$34,MATCH(B23,Lists!$A$5:$A$34,0)),"")</f>
        <v>Jordan Brennan</v>
      </c>
      <c r="D23" s="8" t="str">
        <f>IFERROR(INDEX(Lists!$C$5:$C$34,MATCH(B23,Lists!$A$5:$A$34,0)),"")</f>
        <v>Project Coordinator</v>
      </c>
      <c r="E23" s="9">
        <v>46286</v>
      </c>
      <c r="F23" s="10" t="str">
        <f t="shared" si="0"/>
        <v>Mon</v>
      </c>
      <c r="G23" s="7" t="s">
        <v>46</v>
      </c>
      <c r="H23" s="8" t="str">
        <f>IFERROR(INDEX(Lists!$F$5:$F$9,MATCH(G23,Lists!$E$5:$E$9,0)),"")</f>
        <v>Birchwood Midstream (fictional)</v>
      </c>
      <c r="I23" s="8" t="str">
        <f>IFERROR(INDEX(Lists!$G$5:$G$9,MATCH(G23,Lists!$E$5:$E$9,0)),"")</f>
        <v>Y</v>
      </c>
      <c r="J23" s="11">
        <v>4</v>
      </c>
      <c r="K23" s="12">
        <v>82</v>
      </c>
      <c r="L23" s="13">
        <f>IF(I23&lt;&gt;"Y","",IFERROR(INDEX(Lists!$L$5:$L$20,MATCH(D23&amp;"|"&amp;G23,Lists!$I$5:$I$20,0)),""))</f>
        <v>82</v>
      </c>
      <c r="M23" s="10" t="str">
        <f t="shared" si="1"/>
        <v>E002|20260921|P102</v>
      </c>
      <c r="N23" s="10" t="str">
        <f>IF(COUNTIFS($M$5:M23,M23)&gt;1,"DUPLICATE","")</f>
        <v/>
      </c>
      <c r="O23" s="10" t="str">
        <f t="shared" si="2"/>
        <v/>
      </c>
      <c r="P23" s="10" t="str">
        <f t="shared" si="3"/>
        <v/>
      </c>
      <c r="Q23" s="10" t="str">
        <f>IF(COUNTIF(Lists!$E$5:$E$9,G23)=0,"PROJECT?","")</f>
        <v/>
      </c>
      <c r="R23" s="10" t="str">
        <f t="shared" si="4"/>
        <v/>
      </c>
      <c r="S23" s="10" t="str">
        <f>IF(AND(I23="Y",N23="",COUNTIF(Billing_Data!$H$5:$H$319,M23)=0),"NOT BILLED","")</f>
        <v/>
      </c>
      <c r="T23" s="14">
        <f t="shared" si="5"/>
        <v>0</v>
      </c>
      <c r="U23" s="15">
        <f t="shared" si="6"/>
        <v>328</v>
      </c>
    </row>
    <row r="24" spans="1:21" x14ac:dyDescent="0.25">
      <c r="A24" s="7" t="s">
        <v>64</v>
      </c>
      <c r="B24" s="7" t="s">
        <v>58</v>
      </c>
      <c r="C24" s="8" t="str">
        <f>IFERROR(INDEX(Lists!$B$5:$B$34,MATCH(B24,Lists!$A$5:$A$34,0)),"")</f>
        <v>Jordan Brennan</v>
      </c>
      <c r="D24" s="8" t="str">
        <f>IFERROR(INDEX(Lists!$C$5:$C$34,MATCH(B24,Lists!$A$5:$A$34,0)),"")</f>
        <v>Project Coordinator</v>
      </c>
      <c r="E24" s="9">
        <v>46286</v>
      </c>
      <c r="F24" s="10" t="str">
        <f t="shared" si="0"/>
        <v>Mon</v>
      </c>
      <c r="G24" s="7" t="s">
        <v>53</v>
      </c>
      <c r="H24" s="8" t="str">
        <f>IFERROR(INDEX(Lists!$F$5:$F$9,MATCH(G24,Lists!$E$5:$E$9,0)),"")</f>
        <v>Internal / non-billable</v>
      </c>
      <c r="I24" s="8" t="str">
        <f>IFERROR(INDEX(Lists!$G$5:$G$9,MATCH(G24,Lists!$E$5:$E$9,0)),"")</f>
        <v>N</v>
      </c>
      <c r="J24" s="11">
        <v>4</v>
      </c>
      <c r="K24" s="12">
        <v>0</v>
      </c>
      <c r="L24" s="13" t="str">
        <f>IF(I24&lt;&gt;"Y","",IFERROR(INDEX(Lists!$L$5:$L$20,MATCH(D24&amp;"|"&amp;G24,Lists!$I$5:$I$20,0)),""))</f>
        <v/>
      </c>
      <c r="M24" s="10" t="str">
        <f t="shared" si="1"/>
        <v>E002|20260921|INT-001</v>
      </c>
      <c r="N24" s="10" t="str">
        <f>IF(COUNTIFS($M$5:M24,M24)&gt;1,"DUPLICATE","")</f>
        <v/>
      </c>
      <c r="O24" s="10" t="str">
        <f t="shared" si="2"/>
        <v/>
      </c>
      <c r="P24" s="10" t="str">
        <f t="shared" si="3"/>
        <v/>
      </c>
      <c r="Q24" s="10" t="str">
        <f>IF(COUNTIF(Lists!$E$5:$E$9,G24)=0,"PROJECT?","")</f>
        <v/>
      </c>
      <c r="R24" s="10" t="str">
        <f t="shared" si="4"/>
        <v/>
      </c>
      <c r="S24" s="10" t="str">
        <f>IF(AND(I24="Y",N24="",COUNTIF(Billing_Data!$H$5:$H$319,M24)=0),"NOT BILLED","")</f>
        <v/>
      </c>
      <c r="T24" s="14">
        <f t="shared" si="5"/>
        <v>0</v>
      </c>
      <c r="U24" s="15">
        <f t="shared" si="6"/>
        <v>0</v>
      </c>
    </row>
    <row r="25" spans="1:21" x14ac:dyDescent="0.25">
      <c r="A25" s="7" t="s">
        <v>65</v>
      </c>
      <c r="B25" s="7" t="s">
        <v>58</v>
      </c>
      <c r="C25" s="8" t="str">
        <f>IFERROR(INDEX(Lists!$B$5:$B$34,MATCH(B25,Lists!$A$5:$A$34,0)),"")</f>
        <v>Jordan Brennan</v>
      </c>
      <c r="D25" s="8" t="str">
        <f>IFERROR(INDEX(Lists!$C$5:$C$34,MATCH(B25,Lists!$A$5:$A$34,0)),"")</f>
        <v>Project Coordinator</v>
      </c>
      <c r="E25" s="9">
        <v>46287</v>
      </c>
      <c r="F25" s="10" t="str">
        <f t="shared" si="0"/>
        <v>Tue</v>
      </c>
      <c r="G25" s="7" t="s">
        <v>46</v>
      </c>
      <c r="H25" s="8" t="str">
        <f>IFERROR(INDEX(Lists!$F$5:$F$9,MATCH(G25,Lists!$E$5:$E$9,0)),"")</f>
        <v>Birchwood Midstream (fictional)</v>
      </c>
      <c r="I25" s="8" t="str">
        <f>IFERROR(INDEX(Lists!$G$5:$G$9,MATCH(G25,Lists!$E$5:$E$9,0)),"")</f>
        <v>Y</v>
      </c>
      <c r="J25" s="11">
        <v>4</v>
      </c>
      <c r="K25" s="12">
        <v>82</v>
      </c>
      <c r="L25" s="13">
        <f>IF(I25&lt;&gt;"Y","",IFERROR(INDEX(Lists!$L$5:$L$20,MATCH(D25&amp;"|"&amp;G25,Lists!$I$5:$I$20,0)),""))</f>
        <v>82</v>
      </c>
      <c r="M25" s="10" t="str">
        <f t="shared" si="1"/>
        <v>E002|20260922|P102</v>
      </c>
      <c r="N25" s="10" t="str">
        <f>IF(COUNTIFS($M$5:M25,M25)&gt;1,"DUPLICATE","")</f>
        <v/>
      </c>
      <c r="O25" s="10" t="str">
        <f t="shared" si="2"/>
        <v/>
      </c>
      <c r="P25" s="10" t="str">
        <f t="shared" si="3"/>
        <v/>
      </c>
      <c r="Q25" s="10" t="str">
        <f>IF(COUNTIF(Lists!$E$5:$E$9,G25)=0,"PROJECT?","")</f>
        <v/>
      </c>
      <c r="R25" s="10" t="str">
        <f t="shared" si="4"/>
        <v/>
      </c>
      <c r="S25" s="10" t="str">
        <f>IF(AND(I25="Y",N25="",COUNTIF(Billing_Data!$H$5:$H$319,M25)=0),"NOT BILLED","")</f>
        <v/>
      </c>
      <c r="T25" s="14">
        <f t="shared" si="5"/>
        <v>0</v>
      </c>
      <c r="U25" s="15">
        <f t="shared" si="6"/>
        <v>328</v>
      </c>
    </row>
    <row r="26" spans="1:21" x14ac:dyDescent="0.25">
      <c r="A26" s="7" t="s">
        <v>66</v>
      </c>
      <c r="B26" s="7" t="s">
        <v>58</v>
      </c>
      <c r="C26" s="8" t="str">
        <f>IFERROR(INDEX(Lists!$B$5:$B$34,MATCH(B26,Lists!$A$5:$A$34,0)),"")</f>
        <v>Jordan Brennan</v>
      </c>
      <c r="D26" s="8" t="str">
        <f>IFERROR(INDEX(Lists!$C$5:$C$34,MATCH(B26,Lists!$A$5:$A$34,0)),"")</f>
        <v>Project Coordinator</v>
      </c>
      <c r="E26" s="9">
        <v>46287</v>
      </c>
      <c r="F26" s="10" t="str">
        <f t="shared" si="0"/>
        <v>Tue</v>
      </c>
      <c r="G26" s="7" t="s">
        <v>50</v>
      </c>
      <c r="H26" s="8" t="str">
        <f>IFERROR(INDEX(Lists!$F$5:$F$9,MATCH(G26,Lists!$E$5:$E$9,0)),"")</f>
        <v>Cedar Industrial (fictional)</v>
      </c>
      <c r="I26" s="8" t="str">
        <f>IFERROR(INDEX(Lists!$G$5:$G$9,MATCH(G26,Lists!$E$5:$E$9,0)),"")</f>
        <v>Y</v>
      </c>
      <c r="J26" s="11">
        <v>4</v>
      </c>
      <c r="K26" s="12">
        <v>74</v>
      </c>
      <c r="L26" s="13">
        <f>IF(I26&lt;&gt;"Y","",IFERROR(INDEX(Lists!$L$5:$L$20,MATCH(D26&amp;"|"&amp;G26,Lists!$I$5:$I$20,0)),""))</f>
        <v>74</v>
      </c>
      <c r="M26" s="10" t="str">
        <f t="shared" si="1"/>
        <v>E002|20260922|P103</v>
      </c>
      <c r="N26" s="10" t="str">
        <f>IF(COUNTIFS($M$5:M26,M26)&gt;1,"DUPLICATE","")</f>
        <v/>
      </c>
      <c r="O26" s="10" t="str">
        <f t="shared" si="2"/>
        <v/>
      </c>
      <c r="P26" s="10" t="str">
        <f t="shared" si="3"/>
        <v/>
      </c>
      <c r="Q26" s="10" t="str">
        <f>IF(COUNTIF(Lists!$E$5:$E$9,G26)=0,"PROJECT?","")</f>
        <v/>
      </c>
      <c r="R26" s="10" t="str">
        <f t="shared" si="4"/>
        <v/>
      </c>
      <c r="S26" s="10" t="str">
        <f>IF(AND(I26="Y",N26="",COUNTIF(Billing_Data!$H$5:$H$319,M26)=0),"NOT BILLED","")</f>
        <v/>
      </c>
      <c r="T26" s="14">
        <f t="shared" si="5"/>
        <v>0</v>
      </c>
      <c r="U26" s="15">
        <f t="shared" si="6"/>
        <v>296</v>
      </c>
    </row>
    <row r="27" spans="1:21" x14ac:dyDescent="0.25">
      <c r="A27" s="7" t="s">
        <v>67</v>
      </c>
      <c r="B27" s="7" t="s">
        <v>58</v>
      </c>
      <c r="C27" s="8" t="str">
        <f>IFERROR(INDEX(Lists!$B$5:$B$34,MATCH(B27,Lists!$A$5:$A$34,0)),"")</f>
        <v>Jordan Brennan</v>
      </c>
      <c r="D27" s="8" t="str">
        <f>IFERROR(INDEX(Lists!$C$5:$C$34,MATCH(B27,Lists!$A$5:$A$34,0)),"")</f>
        <v>Project Coordinator</v>
      </c>
      <c r="E27" s="9">
        <v>46288</v>
      </c>
      <c r="F27" s="10" t="str">
        <f t="shared" si="0"/>
        <v>Wed</v>
      </c>
      <c r="G27" s="7" t="s">
        <v>46</v>
      </c>
      <c r="H27" s="8" t="str">
        <f>IFERROR(INDEX(Lists!$F$5:$F$9,MATCH(G27,Lists!$E$5:$E$9,0)),"")</f>
        <v>Birchwood Midstream (fictional)</v>
      </c>
      <c r="I27" s="8" t="str">
        <f>IFERROR(INDEX(Lists!$G$5:$G$9,MATCH(G27,Lists!$E$5:$E$9,0)),"")</f>
        <v>Y</v>
      </c>
      <c r="J27" s="11">
        <v>4</v>
      </c>
      <c r="K27" s="12">
        <v>82</v>
      </c>
      <c r="L27" s="13">
        <f>IF(I27&lt;&gt;"Y","",IFERROR(INDEX(Lists!$L$5:$L$20,MATCH(D27&amp;"|"&amp;G27,Lists!$I$5:$I$20,0)),""))</f>
        <v>82</v>
      </c>
      <c r="M27" s="10" t="str">
        <f t="shared" si="1"/>
        <v>E002|20260923|P102</v>
      </c>
      <c r="N27" s="10" t="str">
        <f>IF(COUNTIFS($M$5:M27,M27)&gt;1,"DUPLICATE","")</f>
        <v/>
      </c>
      <c r="O27" s="10" t="str">
        <f t="shared" si="2"/>
        <v/>
      </c>
      <c r="P27" s="10" t="str">
        <f t="shared" si="3"/>
        <v/>
      </c>
      <c r="Q27" s="10" t="str">
        <f>IF(COUNTIF(Lists!$E$5:$E$9,G27)=0,"PROJECT?","")</f>
        <v/>
      </c>
      <c r="R27" s="10" t="str">
        <f t="shared" si="4"/>
        <v/>
      </c>
      <c r="S27" s="10" t="str">
        <f>IF(AND(I27="Y",N27="",COUNTIF(Billing_Data!$H$5:$H$319,M27)=0),"NOT BILLED","")</f>
        <v/>
      </c>
      <c r="T27" s="14">
        <f t="shared" si="5"/>
        <v>0</v>
      </c>
      <c r="U27" s="15">
        <f t="shared" si="6"/>
        <v>328</v>
      </c>
    </row>
    <row r="28" spans="1:21" x14ac:dyDescent="0.25">
      <c r="A28" s="7" t="s">
        <v>68</v>
      </c>
      <c r="B28" s="7" t="s">
        <v>58</v>
      </c>
      <c r="C28" s="8" t="str">
        <f>IFERROR(INDEX(Lists!$B$5:$B$34,MATCH(B28,Lists!$A$5:$A$34,0)),"")</f>
        <v>Jordan Brennan</v>
      </c>
      <c r="D28" s="8" t="str">
        <f>IFERROR(INDEX(Lists!$C$5:$C$34,MATCH(B28,Lists!$A$5:$A$34,0)),"")</f>
        <v>Project Coordinator</v>
      </c>
      <c r="E28" s="9">
        <v>46288</v>
      </c>
      <c r="F28" s="10" t="str">
        <f t="shared" si="0"/>
        <v>Wed</v>
      </c>
      <c r="G28" s="7" t="s">
        <v>50</v>
      </c>
      <c r="H28" s="8" t="str">
        <f>IFERROR(INDEX(Lists!$F$5:$F$9,MATCH(G28,Lists!$E$5:$E$9,0)),"")</f>
        <v>Cedar Industrial (fictional)</v>
      </c>
      <c r="I28" s="8" t="str">
        <f>IFERROR(INDEX(Lists!$G$5:$G$9,MATCH(G28,Lists!$E$5:$E$9,0)),"")</f>
        <v>Y</v>
      </c>
      <c r="J28" s="11">
        <v>4</v>
      </c>
      <c r="K28" s="12">
        <v>74</v>
      </c>
      <c r="L28" s="13">
        <f>IF(I28&lt;&gt;"Y","",IFERROR(INDEX(Lists!$L$5:$L$20,MATCH(D28&amp;"|"&amp;G28,Lists!$I$5:$I$20,0)),""))</f>
        <v>74</v>
      </c>
      <c r="M28" s="10" t="str">
        <f t="shared" si="1"/>
        <v>E002|20260923|P103</v>
      </c>
      <c r="N28" s="10" t="str">
        <f>IF(COUNTIFS($M$5:M28,M28)&gt;1,"DUPLICATE","")</f>
        <v/>
      </c>
      <c r="O28" s="10" t="str">
        <f t="shared" si="2"/>
        <v/>
      </c>
      <c r="P28" s="10" t="str">
        <f t="shared" si="3"/>
        <v/>
      </c>
      <c r="Q28" s="10" t="str">
        <f>IF(COUNTIF(Lists!$E$5:$E$9,G28)=0,"PROJECT?","")</f>
        <v/>
      </c>
      <c r="R28" s="10" t="str">
        <f t="shared" si="4"/>
        <v/>
      </c>
      <c r="S28" s="10" t="str">
        <f>IF(AND(I28="Y",N28="",COUNTIF(Billing_Data!$H$5:$H$319,M28)=0),"NOT BILLED","")</f>
        <v/>
      </c>
      <c r="T28" s="14">
        <f t="shared" si="5"/>
        <v>0</v>
      </c>
      <c r="U28" s="15">
        <f t="shared" si="6"/>
        <v>296</v>
      </c>
    </row>
    <row r="29" spans="1:21" x14ac:dyDescent="0.25">
      <c r="A29" s="7" t="s">
        <v>69</v>
      </c>
      <c r="B29" s="7" t="s">
        <v>58</v>
      </c>
      <c r="C29" s="8" t="str">
        <f>IFERROR(INDEX(Lists!$B$5:$B$34,MATCH(B29,Lists!$A$5:$A$34,0)),"")</f>
        <v>Jordan Brennan</v>
      </c>
      <c r="D29" s="8" t="str">
        <f>IFERROR(INDEX(Lists!$C$5:$C$34,MATCH(B29,Lists!$A$5:$A$34,0)),"")</f>
        <v>Project Coordinator</v>
      </c>
      <c r="E29" s="9">
        <v>46289</v>
      </c>
      <c r="F29" s="10" t="str">
        <f t="shared" si="0"/>
        <v>Thu</v>
      </c>
      <c r="G29" s="7" t="s">
        <v>46</v>
      </c>
      <c r="H29" s="8" t="str">
        <f>IFERROR(INDEX(Lists!$F$5:$F$9,MATCH(G29,Lists!$E$5:$E$9,0)),"")</f>
        <v>Birchwood Midstream (fictional)</v>
      </c>
      <c r="I29" s="8" t="str">
        <f>IFERROR(INDEX(Lists!$G$5:$G$9,MATCH(G29,Lists!$E$5:$E$9,0)),"")</f>
        <v>Y</v>
      </c>
      <c r="J29" s="11">
        <v>8</v>
      </c>
      <c r="K29" s="12">
        <v>82</v>
      </c>
      <c r="L29" s="13">
        <f>IF(I29&lt;&gt;"Y","",IFERROR(INDEX(Lists!$L$5:$L$20,MATCH(D29&amp;"|"&amp;G29,Lists!$I$5:$I$20,0)),""))</f>
        <v>82</v>
      </c>
      <c r="M29" s="10" t="str">
        <f t="shared" si="1"/>
        <v>E002|20260924|P102</v>
      </c>
      <c r="N29" s="10" t="str">
        <f>IF(COUNTIFS($M$5:M29,M29)&gt;1,"DUPLICATE","")</f>
        <v/>
      </c>
      <c r="O29" s="10" t="str">
        <f t="shared" si="2"/>
        <v/>
      </c>
      <c r="P29" s="10" t="str">
        <f t="shared" si="3"/>
        <v/>
      </c>
      <c r="Q29" s="10" t="str">
        <f>IF(COUNTIF(Lists!$E$5:$E$9,G29)=0,"PROJECT?","")</f>
        <v/>
      </c>
      <c r="R29" s="10" t="str">
        <f t="shared" si="4"/>
        <v/>
      </c>
      <c r="S29" s="10" t="str">
        <f>IF(AND(I29="Y",N29="",COUNTIF(Billing_Data!$H$5:$H$319,M29)=0),"NOT BILLED","")</f>
        <v/>
      </c>
      <c r="T29" s="14">
        <f t="shared" si="5"/>
        <v>0</v>
      </c>
      <c r="U29" s="15">
        <f t="shared" si="6"/>
        <v>656</v>
      </c>
    </row>
    <row r="30" spans="1:21" x14ac:dyDescent="0.25">
      <c r="A30" s="7" t="s">
        <v>70</v>
      </c>
      <c r="B30" s="7" t="s">
        <v>58</v>
      </c>
      <c r="C30" s="8" t="str">
        <f>IFERROR(INDEX(Lists!$B$5:$B$34,MATCH(B30,Lists!$A$5:$A$34,0)),"")</f>
        <v>Jordan Brennan</v>
      </c>
      <c r="D30" s="8" t="str">
        <f>IFERROR(INDEX(Lists!$C$5:$C$34,MATCH(B30,Lists!$A$5:$A$34,0)),"")</f>
        <v>Project Coordinator</v>
      </c>
      <c r="E30" s="9">
        <v>46290</v>
      </c>
      <c r="F30" s="10" t="str">
        <f t="shared" si="0"/>
        <v>Fri</v>
      </c>
      <c r="G30" s="7" t="s">
        <v>46</v>
      </c>
      <c r="H30" s="8" t="str">
        <f>IFERROR(INDEX(Lists!$F$5:$F$9,MATCH(G30,Lists!$E$5:$E$9,0)),"")</f>
        <v>Birchwood Midstream (fictional)</v>
      </c>
      <c r="I30" s="8" t="str">
        <f>IFERROR(INDEX(Lists!$G$5:$G$9,MATCH(G30,Lists!$E$5:$E$9,0)),"")</f>
        <v>Y</v>
      </c>
      <c r="J30" s="11">
        <v>8</v>
      </c>
      <c r="K30" s="12">
        <v>82</v>
      </c>
      <c r="L30" s="13">
        <f>IF(I30&lt;&gt;"Y","",IFERROR(INDEX(Lists!$L$5:$L$20,MATCH(D30&amp;"|"&amp;G30,Lists!$I$5:$I$20,0)),""))</f>
        <v>82</v>
      </c>
      <c r="M30" s="10" t="str">
        <f t="shared" si="1"/>
        <v>E002|20260925|P102</v>
      </c>
      <c r="N30" s="10" t="str">
        <f>IF(COUNTIFS($M$5:M30,M30)&gt;1,"DUPLICATE","")</f>
        <v/>
      </c>
      <c r="O30" s="10" t="str">
        <f t="shared" si="2"/>
        <v/>
      </c>
      <c r="P30" s="10" t="str">
        <f t="shared" si="3"/>
        <v/>
      </c>
      <c r="Q30" s="10" t="str">
        <f>IF(COUNTIF(Lists!$E$5:$E$9,G30)=0,"PROJECT?","")</f>
        <v/>
      </c>
      <c r="R30" s="10" t="str">
        <f t="shared" si="4"/>
        <v/>
      </c>
      <c r="S30" s="10" t="str">
        <f>IF(AND(I30="Y",N30="",COUNTIF(Billing_Data!$H$5:$H$319,M30)=0),"NOT BILLED","")</f>
        <v/>
      </c>
      <c r="T30" s="14">
        <f t="shared" si="5"/>
        <v>0</v>
      </c>
      <c r="U30" s="15">
        <f t="shared" si="6"/>
        <v>656</v>
      </c>
    </row>
    <row r="31" spans="1:21" x14ac:dyDescent="0.25">
      <c r="A31" s="7" t="s">
        <v>71</v>
      </c>
      <c r="B31" s="7" t="s">
        <v>72</v>
      </c>
      <c r="C31" s="8" t="str">
        <f>IFERROR(INDEX(Lists!$B$5:$B$34,MATCH(B31,Lists!$A$5:$A$34,0)),"")</f>
        <v>Taylor Calder</v>
      </c>
      <c r="D31" s="8" t="str">
        <f>IFERROR(INDEX(Lists!$C$5:$C$34,MATCH(B31,Lists!$A$5:$A$34,0)),"")</f>
        <v>Project Coordinator</v>
      </c>
      <c r="E31" s="9">
        <v>46279</v>
      </c>
      <c r="F31" s="10" t="str">
        <f t="shared" si="0"/>
        <v>Mon</v>
      </c>
      <c r="G31" s="7" t="s">
        <v>50</v>
      </c>
      <c r="H31" s="8" t="str">
        <f>IFERROR(INDEX(Lists!$F$5:$F$9,MATCH(G31,Lists!$E$5:$E$9,0)),"")</f>
        <v>Cedar Industrial (fictional)</v>
      </c>
      <c r="I31" s="8" t="str">
        <f>IFERROR(INDEX(Lists!$G$5:$G$9,MATCH(G31,Lists!$E$5:$E$9,0)),"")</f>
        <v>Y</v>
      </c>
      <c r="J31" s="11">
        <v>4</v>
      </c>
      <c r="K31" s="12">
        <v>74</v>
      </c>
      <c r="L31" s="13">
        <f>IF(I31&lt;&gt;"Y","",IFERROR(INDEX(Lists!$L$5:$L$20,MATCH(D31&amp;"|"&amp;G31,Lists!$I$5:$I$20,0)),""))</f>
        <v>74</v>
      </c>
      <c r="M31" s="10" t="str">
        <f t="shared" si="1"/>
        <v>E003|20260914|P103</v>
      </c>
      <c r="N31" s="10" t="str">
        <f>IF(COUNTIFS($M$5:M31,M31)&gt;1,"DUPLICATE","")</f>
        <v/>
      </c>
      <c r="O31" s="10" t="str">
        <f t="shared" si="2"/>
        <v/>
      </c>
      <c r="P31" s="10" t="str">
        <f t="shared" si="3"/>
        <v/>
      </c>
      <c r="Q31" s="10" t="str">
        <f>IF(COUNTIF(Lists!$E$5:$E$9,G31)=0,"PROJECT?","")</f>
        <v/>
      </c>
      <c r="R31" s="10" t="str">
        <f t="shared" si="4"/>
        <v/>
      </c>
      <c r="S31" s="10" t="str">
        <f>IF(AND(I31="Y",N31="",COUNTIF(Billing_Data!$H$5:$H$319,M31)=0),"NOT BILLED","")</f>
        <v/>
      </c>
      <c r="T31" s="14">
        <f t="shared" si="5"/>
        <v>0</v>
      </c>
      <c r="U31" s="15">
        <f t="shared" si="6"/>
        <v>296</v>
      </c>
    </row>
    <row r="32" spans="1:21" x14ac:dyDescent="0.25">
      <c r="A32" s="7" t="s">
        <v>73</v>
      </c>
      <c r="B32" s="7" t="s">
        <v>72</v>
      </c>
      <c r="C32" s="8" t="str">
        <f>IFERROR(INDEX(Lists!$B$5:$B$34,MATCH(B32,Lists!$A$5:$A$34,0)),"")</f>
        <v>Taylor Calder</v>
      </c>
      <c r="D32" s="8" t="str">
        <f>IFERROR(INDEX(Lists!$C$5:$C$34,MATCH(B32,Lists!$A$5:$A$34,0)),"")</f>
        <v>Project Coordinator</v>
      </c>
      <c r="E32" s="9">
        <v>46279</v>
      </c>
      <c r="F32" s="10" t="str">
        <f t="shared" si="0"/>
        <v>Mon</v>
      </c>
      <c r="G32" s="7" t="s">
        <v>74</v>
      </c>
      <c r="H32" s="8" t="str">
        <f>IFERROR(INDEX(Lists!$F$5:$F$9,MATCH(G32,Lists!$E$5:$E$9,0)),"")</f>
        <v>Delta Environmental (fictional)</v>
      </c>
      <c r="I32" s="8" t="str">
        <f>IFERROR(INDEX(Lists!$G$5:$G$9,MATCH(G32,Lists!$E$5:$E$9,0)),"")</f>
        <v>Y</v>
      </c>
      <c r="J32" s="11">
        <v>4</v>
      </c>
      <c r="K32" s="12">
        <v>86</v>
      </c>
      <c r="L32" s="13">
        <f>IF(I32&lt;&gt;"Y","",IFERROR(INDEX(Lists!$L$5:$L$20,MATCH(D32&amp;"|"&amp;G32,Lists!$I$5:$I$20,0)),""))</f>
        <v>86</v>
      </c>
      <c r="M32" s="10" t="str">
        <f t="shared" si="1"/>
        <v>E003|20260914|P104</v>
      </c>
      <c r="N32" s="10" t="str">
        <f>IF(COUNTIFS($M$5:M32,M32)&gt;1,"DUPLICATE","")</f>
        <v/>
      </c>
      <c r="O32" s="10" t="str">
        <f t="shared" si="2"/>
        <v/>
      </c>
      <c r="P32" s="10" t="str">
        <f t="shared" si="3"/>
        <v/>
      </c>
      <c r="Q32" s="10" t="str">
        <f>IF(COUNTIF(Lists!$E$5:$E$9,G32)=0,"PROJECT?","")</f>
        <v/>
      </c>
      <c r="R32" s="10" t="str">
        <f t="shared" si="4"/>
        <v/>
      </c>
      <c r="S32" s="10" t="str">
        <f>IF(AND(I32="Y",N32="",COUNTIF(Billing_Data!$H$5:$H$319,M32)=0),"NOT BILLED","")</f>
        <v/>
      </c>
      <c r="T32" s="14">
        <f t="shared" si="5"/>
        <v>0</v>
      </c>
      <c r="U32" s="15">
        <f t="shared" si="6"/>
        <v>344</v>
      </c>
    </row>
    <row r="33" spans="1:21" x14ac:dyDescent="0.25">
      <c r="A33" s="7" t="s">
        <v>75</v>
      </c>
      <c r="B33" s="7" t="s">
        <v>72</v>
      </c>
      <c r="C33" s="8" t="str">
        <f>IFERROR(INDEX(Lists!$B$5:$B$34,MATCH(B33,Lists!$A$5:$A$34,0)),"")</f>
        <v>Taylor Calder</v>
      </c>
      <c r="D33" s="8" t="str">
        <f>IFERROR(INDEX(Lists!$C$5:$C$34,MATCH(B33,Lists!$A$5:$A$34,0)),"")</f>
        <v>Project Coordinator</v>
      </c>
      <c r="E33" s="9">
        <v>46280</v>
      </c>
      <c r="F33" s="10" t="str">
        <f t="shared" si="0"/>
        <v>Tue</v>
      </c>
      <c r="G33" s="7" t="s">
        <v>50</v>
      </c>
      <c r="H33" s="8" t="str">
        <f>IFERROR(INDEX(Lists!$F$5:$F$9,MATCH(G33,Lists!$E$5:$E$9,0)),"")</f>
        <v>Cedar Industrial (fictional)</v>
      </c>
      <c r="I33" s="8" t="str">
        <f>IFERROR(INDEX(Lists!$G$5:$G$9,MATCH(G33,Lists!$E$5:$E$9,0)),"")</f>
        <v>Y</v>
      </c>
      <c r="J33" s="11">
        <v>8</v>
      </c>
      <c r="K33" s="12">
        <v>74</v>
      </c>
      <c r="L33" s="13">
        <f>IF(I33&lt;&gt;"Y","",IFERROR(INDEX(Lists!$L$5:$L$20,MATCH(D33&amp;"|"&amp;G33,Lists!$I$5:$I$20,0)),""))</f>
        <v>74</v>
      </c>
      <c r="M33" s="10" t="str">
        <f t="shared" si="1"/>
        <v>E003|20260915|P103</v>
      </c>
      <c r="N33" s="10" t="str">
        <f>IF(COUNTIFS($M$5:M33,M33)&gt;1,"DUPLICATE","")</f>
        <v/>
      </c>
      <c r="O33" s="10" t="str">
        <f t="shared" si="2"/>
        <v/>
      </c>
      <c r="P33" s="10" t="str">
        <f t="shared" si="3"/>
        <v/>
      </c>
      <c r="Q33" s="10" t="str">
        <f>IF(COUNTIF(Lists!$E$5:$E$9,G33)=0,"PROJECT?","")</f>
        <v/>
      </c>
      <c r="R33" s="10" t="str">
        <f t="shared" si="4"/>
        <v/>
      </c>
      <c r="S33" s="10" t="str">
        <f>IF(AND(I33="Y",N33="",COUNTIF(Billing_Data!$H$5:$H$319,M33)=0),"NOT BILLED","")</f>
        <v/>
      </c>
      <c r="T33" s="14">
        <f t="shared" si="5"/>
        <v>0</v>
      </c>
      <c r="U33" s="15">
        <f t="shared" si="6"/>
        <v>592</v>
      </c>
    </row>
    <row r="34" spans="1:21" x14ac:dyDescent="0.25">
      <c r="A34" s="7" t="s">
        <v>76</v>
      </c>
      <c r="B34" s="7" t="s">
        <v>72</v>
      </c>
      <c r="C34" s="8" t="str">
        <f>IFERROR(INDEX(Lists!$B$5:$B$34,MATCH(B34,Lists!$A$5:$A$34,0)),"")</f>
        <v>Taylor Calder</v>
      </c>
      <c r="D34" s="8" t="str">
        <f>IFERROR(INDEX(Lists!$C$5:$C$34,MATCH(B34,Lists!$A$5:$A$34,0)),"")</f>
        <v>Project Coordinator</v>
      </c>
      <c r="E34" s="9">
        <v>46281</v>
      </c>
      <c r="F34" s="10" t="str">
        <f t="shared" si="0"/>
        <v>Wed</v>
      </c>
      <c r="G34" s="7" t="s">
        <v>50</v>
      </c>
      <c r="H34" s="8" t="str">
        <f>IFERROR(INDEX(Lists!$F$5:$F$9,MATCH(G34,Lists!$E$5:$E$9,0)),"")</f>
        <v>Cedar Industrial (fictional)</v>
      </c>
      <c r="I34" s="8" t="str">
        <f>IFERROR(INDEX(Lists!$G$5:$G$9,MATCH(G34,Lists!$E$5:$E$9,0)),"")</f>
        <v>Y</v>
      </c>
      <c r="J34" s="11">
        <v>8</v>
      </c>
      <c r="K34" s="12">
        <v>74</v>
      </c>
      <c r="L34" s="13">
        <f>IF(I34&lt;&gt;"Y","",IFERROR(INDEX(Lists!$L$5:$L$20,MATCH(D34&amp;"|"&amp;G34,Lists!$I$5:$I$20,0)),""))</f>
        <v>74</v>
      </c>
      <c r="M34" s="10" t="str">
        <f t="shared" si="1"/>
        <v>E003|20260916|P103</v>
      </c>
      <c r="N34" s="10" t="str">
        <f>IF(COUNTIFS($M$5:M34,M34)&gt;1,"DUPLICATE","")</f>
        <v/>
      </c>
      <c r="O34" s="10" t="str">
        <f t="shared" si="2"/>
        <v/>
      </c>
      <c r="P34" s="10" t="str">
        <f t="shared" si="3"/>
        <v/>
      </c>
      <c r="Q34" s="10" t="str">
        <f>IF(COUNTIF(Lists!$E$5:$E$9,G34)=0,"PROJECT?","")</f>
        <v/>
      </c>
      <c r="R34" s="10" t="str">
        <f t="shared" si="4"/>
        <v/>
      </c>
      <c r="S34" s="10" t="str">
        <f>IF(AND(I34="Y",N34="",COUNTIF(Billing_Data!$H$5:$H$319,M34)=0),"NOT BILLED","")</f>
        <v/>
      </c>
      <c r="T34" s="14">
        <f t="shared" si="5"/>
        <v>0</v>
      </c>
      <c r="U34" s="15">
        <f t="shared" si="6"/>
        <v>592</v>
      </c>
    </row>
    <row r="35" spans="1:21" x14ac:dyDescent="0.25">
      <c r="A35" s="7" t="s">
        <v>77</v>
      </c>
      <c r="B35" s="7" t="s">
        <v>72</v>
      </c>
      <c r="C35" s="8" t="str">
        <f>IFERROR(INDEX(Lists!$B$5:$B$34,MATCH(B35,Lists!$A$5:$A$34,0)),"")</f>
        <v>Taylor Calder</v>
      </c>
      <c r="D35" s="8" t="str">
        <f>IFERROR(INDEX(Lists!$C$5:$C$34,MATCH(B35,Lists!$A$5:$A$34,0)),"")</f>
        <v>Project Coordinator</v>
      </c>
      <c r="E35" s="9">
        <v>46282</v>
      </c>
      <c r="F35" s="10" t="str">
        <f t="shared" si="0"/>
        <v>Thu</v>
      </c>
      <c r="G35" s="7" t="s">
        <v>50</v>
      </c>
      <c r="H35" s="8" t="str">
        <f>IFERROR(INDEX(Lists!$F$5:$F$9,MATCH(G35,Lists!$E$5:$E$9,0)),"")</f>
        <v>Cedar Industrial (fictional)</v>
      </c>
      <c r="I35" s="8" t="str">
        <f>IFERROR(INDEX(Lists!$G$5:$G$9,MATCH(G35,Lists!$E$5:$E$9,0)),"")</f>
        <v>Y</v>
      </c>
      <c r="J35" s="11">
        <v>4</v>
      </c>
      <c r="K35" s="12">
        <v>74</v>
      </c>
      <c r="L35" s="13">
        <f>IF(I35&lt;&gt;"Y","",IFERROR(INDEX(Lists!$L$5:$L$20,MATCH(D35&amp;"|"&amp;G35,Lists!$I$5:$I$20,0)),""))</f>
        <v>74</v>
      </c>
      <c r="M35" s="10" t="str">
        <f t="shared" si="1"/>
        <v>E003|20260917|P103</v>
      </c>
      <c r="N35" s="10" t="str">
        <f>IF(COUNTIFS($M$5:M35,M35)&gt;1,"DUPLICATE","")</f>
        <v/>
      </c>
      <c r="O35" s="10" t="str">
        <f t="shared" si="2"/>
        <v/>
      </c>
      <c r="P35" s="10" t="str">
        <f t="shared" si="3"/>
        <v/>
      </c>
      <c r="Q35" s="10" t="str">
        <f>IF(COUNTIF(Lists!$E$5:$E$9,G35)=0,"PROJECT?","")</f>
        <v/>
      </c>
      <c r="R35" s="10" t="str">
        <f t="shared" si="4"/>
        <v/>
      </c>
      <c r="S35" s="10" t="str">
        <f>IF(AND(I35="Y",N35="",COUNTIF(Billing_Data!$H$5:$H$319,M35)=0),"NOT BILLED","")</f>
        <v/>
      </c>
      <c r="T35" s="14">
        <f t="shared" si="5"/>
        <v>0</v>
      </c>
      <c r="U35" s="15">
        <f t="shared" si="6"/>
        <v>296</v>
      </c>
    </row>
    <row r="36" spans="1:21" x14ac:dyDescent="0.25">
      <c r="A36" s="7" t="s">
        <v>78</v>
      </c>
      <c r="B36" s="7" t="s">
        <v>72</v>
      </c>
      <c r="C36" s="8" t="str">
        <f>IFERROR(INDEX(Lists!$B$5:$B$34,MATCH(B36,Lists!$A$5:$A$34,0)),"")</f>
        <v>Taylor Calder</v>
      </c>
      <c r="D36" s="8" t="str">
        <f>IFERROR(INDEX(Lists!$C$5:$C$34,MATCH(B36,Lists!$A$5:$A$34,0)),"")</f>
        <v>Project Coordinator</v>
      </c>
      <c r="E36" s="9">
        <v>46282</v>
      </c>
      <c r="F36" s="10" t="str">
        <f t="shared" si="0"/>
        <v>Thu</v>
      </c>
      <c r="G36" s="7" t="s">
        <v>46</v>
      </c>
      <c r="H36" s="8" t="str">
        <f>IFERROR(INDEX(Lists!$F$5:$F$9,MATCH(G36,Lists!$E$5:$E$9,0)),"")</f>
        <v>Birchwood Midstream (fictional)</v>
      </c>
      <c r="I36" s="8" t="str">
        <f>IFERROR(INDEX(Lists!$G$5:$G$9,MATCH(G36,Lists!$E$5:$E$9,0)),"")</f>
        <v>Y</v>
      </c>
      <c r="J36" s="11">
        <v>4</v>
      </c>
      <c r="K36" s="12">
        <v>82</v>
      </c>
      <c r="L36" s="13">
        <f>IF(I36&lt;&gt;"Y","",IFERROR(INDEX(Lists!$L$5:$L$20,MATCH(D36&amp;"|"&amp;G36,Lists!$I$5:$I$20,0)),""))</f>
        <v>82</v>
      </c>
      <c r="M36" s="10" t="str">
        <f t="shared" si="1"/>
        <v>E003|20260917|P102</v>
      </c>
      <c r="N36" s="10" t="str">
        <f>IF(COUNTIFS($M$5:M36,M36)&gt;1,"DUPLICATE","")</f>
        <v/>
      </c>
      <c r="O36" s="10" t="str">
        <f t="shared" si="2"/>
        <v/>
      </c>
      <c r="P36" s="10" t="str">
        <f t="shared" si="3"/>
        <v/>
      </c>
      <c r="Q36" s="10" t="str">
        <f>IF(COUNTIF(Lists!$E$5:$E$9,G36)=0,"PROJECT?","")</f>
        <v/>
      </c>
      <c r="R36" s="10" t="str">
        <f t="shared" si="4"/>
        <v/>
      </c>
      <c r="S36" s="10" t="str">
        <f>IF(AND(I36="Y",N36="",COUNTIF(Billing_Data!$H$5:$H$319,M36)=0),"NOT BILLED","")</f>
        <v/>
      </c>
      <c r="T36" s="14">
        <f t="shared" si="5"/>
        <v>0</v>
      </c>
      <c r="U36" s="15">
        <f t="shared" si="6"/>
        <v>328</v>
      </c>
    </row>
    <row r="37" spans="1:21" x14ac:dyDescent="0.25">
      <c r="A37" s="7" t="s">
        <v>79</v>
      </c>
      <c r="B37" s="7" t="s">
        <v>72</v>
      </c>
      <c r="C37" s="8" t="str">
        <f>IFERROR(INDEX(Lists!$B$5:$B$34,MATCH(B37,Lists!$A$5:$A$34,0)),"")</f>
        <v>Taylor Calder</v>
      </c>
      <c r="D37" s="8" t="str">
        <f>IFERROR(INDEX(Lists!$C$5:$C$34,MATCH(B37,Lists!$A$5:$A$34,0)),"")</f>
        <v>Project Coordinator</v>
      </c>
      <c r="E37" s="9">
        <v>46283</v>
      </c>
      <c r="F37" s="10" t="str">
        <f t="shared" si="0"/>
        <v>Fri</v>
      </c>
      <c r="G37" s="7" t="s">
        <v>50</v>
      </c>
      <c r="H37" s="8" t="str">
        <f>IFERROR(INDEX(Lists!$F$5:$F$9,MATCH(G37,Lists!$E$5:$E$9,0)),"")</f>
        <v>Cedar Industrial (fictional)</v>
      </c>
      <c r="I37" s="8" t="str">
        <f>IFERROR(INDEX(Lists!$G$5:$G$9,MATCH(G37,Lists!$E$5:$E$9,0)),"")</f>
        <v>Y</v>
      </c>
      <c r="J37" s="11">
        <v>8</v>
      </c>
      <c r="K37" s="12">
        <v>74</v>
      </c>
      <c r="L37" s="13">
        <f>IF(I37&lt;&gt;"Y","",IFERROR(INDEX(Lists!$L$5:$L$20,MATCH(D37&amp;"|"&amp;G37,Lists!$I$5:$I$20,0)),""))</f>
        <v>74</v>
      </c>
      <c r="M37" s="10" t="str">
        <f t="shared" si="1"/>
        <v>E003|20260918|P103</v>
      </c>
      <c r="N37" s="10" t="str">
        <f>IF(COUNTIFS($M$5:M37,M37)&gt;1,"DUPLICATE","")</f>
        <v/>
      </c>
      <c r="O37" s="10" t="str">
        <f t="shared" si="2"/>
        <v/>
      </c>
      <c r="P37" s="10" t="str">
        <f t="shared" si="3"/>
        <v/>
      </c>
      <c r="Q37" s="10" t="str">
        <f>IF(COUNTIF(Lists!$E$5:$E$9,G37)=0,"PROJECT?","")</f>
        <v/>
      </c>
      <c r="R37" s="10" t="str">
        <f t="shared" si="4"/>
        <v/>
      </c>
      <c r="S37" s="10" t="str">
        <f>IF(AND(I37="Y",N37="",COUNTIF(Billing_Data!$H$5:$H$319,M37)=0),"NOT BILLED","")</f>
        <v/>
      </c>
      <c r="T37" s="14">
        <f t="shared" si="5"/>
        <v>0</v>
      </c>
      <c r="U37" s="15">
        <f t="shared" si="6"/>
        <v>592</v>
      </c>
    </row>
    <row r="38" spans="1:21" x14ac:dyDescent="0.25">
      <c r="A38" s="7" t="s">
        <v>80</v>
      </c>
      <c r="B38" s="7" t="s">
        <v>72</v>
      </c>
      <c r="C38" s="8" t="str">
        <f>IFERROR(INDEX(Lists!$B$5:$B$34,MATCH(B38,Lists!$A$5:$A$34,0)),"")</f>
        <v>Taylor Calder</v>
      </c>
      <c r="D38" s="8" t="str">
        <f>IFERROR(INDEX(Lists!$C$5:$C$34,MATCH(B38,Lists!$A$5:$A$34,0)),"")</f>
        <v>Project Coordinator</v>
      </c>
      <c r="E38" s="9">
        <v>46286</v>
      </c>
      <c r="F38" s="10" t="str">
        <f t="shared" si="0"/>
        <v>Mon</v>
      </c>
      <c r="G38" s="7" t="s">
        <v>50</v>
      </c>
      <c r="H38" s="8" t="str">
        <f>IFERROR(INDEX(Lists!$F$5:$F$9,MATCH(G38,Lists!$E$5:$E$9,0)),"")</f>
        <v>Cedar Industrial (fictional)</v>
      </c>
      <c r="I38" s="8" t="str">
        <f>IFERROR(INDEX(Lists!$G$5:$G$9,MATCH(G38,Lists!$E$5:$E$9,0)),"")</f>
        <v>Y</v>
      </c>
      <c r="J38" s="11">
        <v>8</v>
      </c>
      <c r="K38" s="12">
        <v>74</v>
      </c>
      <c r="L38" s="13">
        <f>IF(I38&lt;&gt;"Y","",IFERROR(INDEX(Lists!$L$5:$L$20,MATCH(D38&amp;"|"&amp;G38,Lists!$I$5:$I$20,0)),""))</f>
        <v>74</v>
      </c>
      <c r="M38" s="10" t="str">
        <f t="shared" si="1"/>
        <v>E003|20260921|P103</v>
      </c>
      <c r="N38" s="10" t="str">
        <f>IF(COUNTIFS($M$5:M38,M38)&gt;1,"DUPLICATE","")</f>
        <v/>
      </c>
      <c r="O38" s="10" t="str">
        <f t="shared" si="2"/>
        <v/>
      </c>
      <c r="P38" s="10" t="str">
        <f t="shared" si="3"/>
        <v/>
      </c>
      <c r="Q38" s="10" t="str">
        <f>IF(COUNTIF(Lists!$E$5:$E$9,G38)=0,"PROJECT?","")</f>
        <v/>
      </c>
      <c r="R38" s="10" t="str">
        <f t="shared" si="4"/>
        <v/>
      </c>
      <c r="S38" s="10" t="str">
        <f>IF(AND(I38="Y",N38="",COUNTIF(Billing_Data!$H$5:$H$319,M38)=0),"NOT BILLED","")</f>
        <v/>
      </c>
      <c r="T38" s="14">
        <f t="shared" si="5"/>
        <v>0</v>
      </c>
      <c r="U38" s="15">
        <f t="shared" si="6"/>
        <v>592</v>
      </c>
    </row>
    <row r="39" spans="1:21" x14ac:dyDescent="0.25">
      <c r="A39" s="7" t="s">
        <v>81</v>
      </c>
      <c r="B39" s="7" t="s">
        <v>72</v>
      </c>
      <c r="C39" s="8" t="str">
        <f>IFERROR(INDEX(Lists!$B$5:$B$34,MATCH(B39,Lists!$A$5:$A$34,0)),"")</f>
        <v>Taylor Calder</v>
      </c>
      <c r="D39" s="8" t="str">
        <f>IFERROR(INDEX(Lists!$C$5:$C$34,MATCH(B39,Lists!$A$5:$A$34,0)),"")</f>
        <v>Project Coordinator</v>
      </c>
      <c r="E39" s="9">
        <v>46287</v>
      </c>
      <c r="F39" s="10" t="str">
        <f t="shared" si="0"/>
        <v>Tue</v>
      </c>
      <c r="G39" s="7" t="s">
        <v>50</v>
      </c>
      <c r="H39" s="8" t="str">
        <f>IFERROR(INDEX(Lists!$F$5:$F$9,MATCH(G39,Lists!$E$5:$E$9,0)),"")</f>
        <v>Cedar Industrial (fictional)</v>
      </c>
      <c r="I39" s="8" t="str">
        <f>IFERROR(INDEX(Lists!$G$5:$G$9,MATCH(G39,Lists!$E$5:$E$9,0)),"")</f>
        <v>Y</v>
      </c>
      <c r="J39" s="11">
        <v>4</v>
      </c>
      <c r="K39" s="12">
        <v>74</v>
      </c>
      <c r="L39" s="13">
        <f>IF(I39&lt;&gt;"Y","",IFERROR(INDEX(Lists!$L$5:$L$20,MATCH(D39&amp;"|"&amp;G39,Lists!$I$5:$I$20,0)),""))</f>
        <v>74</v>
      </c>
      <c r="M39" s="10" t="str">
        <f t="shared" si="1"/>
        <v>E003|20260922|P103</v>
      </c>
      <c r="N39" s="10" t="str">
        <f>IF(COUNTIFS($M$5:M39,M39)&gt;1,"DUPLICATE","")</f>
        <v/>
      </c>
      <c r="O39" s="10" t="str">
        <f t="shared" si="2"/>
        <v/>
      </c>
      <c r="P39" s="10" t="str">
        <f t="shared" si="3"/>
        <v/>
      </c>
      <c r="Q39" s="10" t="str">
        <f>IF(COUNTIF(Lists!$E$5:$E$9,G39)=0,"PROJECT?","")</f>
        <v/>
      </c>
      <c r="R39" s="10" t="str">
        <f t="shared" si="4"/>
        <v/>
      </c>
      <c r="S39" s="10" t="str">
        <f>IF(AND(I39="Y",N39="",COUNTIF(Billing_Data!$H$5:$H$319,M39)=0),"NOT BILLED","")</f>
        <v/>
      </c>
      <c r="T39" s="14">
        <f t="shared" si="5"/>
        <v>0</v>
      </c>
      <c r="U39" s="15">
        <f t="shared" si="6"/>
        <v>296</v>
      </c>
    </row>
    <row r="40" spans="1:21" x14ac:dyDescent="0.25">
      <c r="A40" s="7" t="s">
        <v>82</v>
      </c>
      <c r="B40" s="7" t="s">
        <v>72</v>
      </c>
      <c r="C40" s="8" t="str">
        <f>IFERROR(INDEX(Lists!$B$5:$B$34,MATCH(B40,Lists!$A$5:$A$34,0)),"")</f>
        <v>Taylor Calder</v>
      </c>
      <c r="D40" s="8" t="str">
        <f>IFERROR(INDEX(Lists!$C$5:$C$34,MATCH(B40,Lists!$A$5:$A$34,0)),"")</f>
        <v>Project Coordinator</v>
      </c>
      <c r="E40" s="9">
        <v>46287</v>
      </c>
      <c r="F40" s="10" t="str">
        <f t="shared" si="0"/>
        <v>Tue</v>
      </c>
      <c r="G40" s="7" t="s">
        <v>41</v>
      </c>
      <c r="H40" s="8" t="str">
        <f>IFERROR(INDEX(Lists!$F$5:$F$9,MATCH(G40,Lists!$E$5:$E$9,0)),"")</f>
        <v>Alder Energy (fictional)</v>
      </c>
      <c r="I40" s="8" t="str">
        <f>IFERROR(INDEX(Lists!$G$5:$G$9,MATCH(G40,Lists!$E$5:$E$9,0)),"")</f>
        <v>Y</v>
      </c>
      <c r="J40" s="11">
        <v>4</v>
      </c>
      <c r="K40" s="12">
        <v>78</v>
      </c>
      <c r="L40" s="13">
        <f>IF(I40&lt;&gt;"Y","",IFERROR(INDEX(Lists!$L$5:$L$20,MATCH(D40&amp;"|"&amp;G40,Lists!$I$5:$I$20,0)),""))</f>
        <v>78</v>
      </c>
      <c r="M40" s="10" t="str">
        <f t="shared" si="1"/>
        <v>E003|20260922|P101</v>
      </c>
      <c r="N40" s="10" t="str">
        <f>IF(COUNTIFS($M$5:M40,M40)&gt;1,"DUPLICATE","")</f>
        <v/>
      </c>
      <c r="O40" s="10" t="str">
        <f t="shared" si="2"/>
        <v/>
      </c>
      <c r="P40" s="10" t="str">
        <f t="shared" si="3"/>
        <v/>
      </c>
      <c r="Q40" s="10" t="str">
        <f>IF(COUNTIF(Lists!$E$5:$E$9,G40)=0,"PROJECT?","")</f>
        <v/>
      </c>
      <c r="R40" s="10" t="str">
        <f t="shared" si="4"/>
        <v/>
      </c>
      <c r="S40" s="10" t="str">
        <f>IF(AND(I40="Y",N40="",COUNTIF(Billing_Data!$H$5:$H$319,M40)=0),"NOT BILLED","")</f>
        <v/>
      </c>
      <c r="T40" s="14">
        <f t="shared" si="5"/>
        <v>0</v>
      </c>
      <c r="U40" s="15">
        <f t="shared" si="6"/>
        <v>312</v>
      </c>
    </row>
    <row r="41" spans="1:21" x14ac:dyDescent="0.25">
      <c r="A41" s="7" t="s">
        <v>83</v>
      </c>
      <c r="B41" s="7" t="s">
        <v>72</v>
      </c>
      <c r="C41" s="8" t="str">
        <f>IFERROR(INDEX(Lists!$B$5:$B$34,MATCH(B41,Lists!$A$5:$A$34,0)),"")</f>
        <v>Taylor Calder</v>
      </c>
      <c r="D41" s="8" t="str">
        <f>IFERROR(INDEX(Lists!$C$5:$C$34,MATCH(B41,Lists!$A$5:$A$34,0)),"")</f>
        <v>Project Coordinator</v>
      </c>
      <c r="E41" s="9">
        <v>46288</v>
      </c>
      <c r="F41" s="10" t="str">
        <f t="shared" si="0"/>
        <v>Wed</v>
      </c>
      <c r="G41" s="7" t="s">
        <v>50</v>
      </c>
      <c r="H41" s="8" t="str">
        <f>IFERROR(INDEX(Lists!$F$5:$F$9,MATCH(G41,Lists!$E$5:$E$9,0)),"")</f>
        <v>Cedar Industrial (fictional)</v>
      </c>
      <c r="I41" s="8" t="str">
        <f>IFERROR(INDEX(Lists!$G$5:$G$9,MATCH(G41,Lists!$E$5:$E$9,0)),"")</f>
        <v>Y</v>
      </c>
      <c r="J41" s="11">
        <v>8</v>
      </c>
      <c r="K41" s="12">
        <v>74</v>
      </c>
      <c r="L41" s="13">
        <f>IF(I41&lt;&gt;"Y","",IFERROR(INDEX(Lists!$L$5:$L$20,MATCH(D41&amp;"|"&amp;G41,Lists!$I$5:$I$20,0)),""))</f>
        <v>74</v>
      </c>
      <c r="M41" s="10" t="str">
        <f t="shared" si="1"/>
        <v>E003|20260923|P103</v>
      </c>
      <c r="N41" s="10" t="str">
        <f>IF(COUNTIFS($M$5:M41,M41)&gt;1,"DUPLICATE","")</f>
        <v/>
      </c>
      <c r="O41" s="10" t="str">
        <f t="shared" si="2"/>
        <v/>
      </c>
      <c r="P41" s="10" t="str">
        <f t="shared" si="3"/>
        <v/>
      </c>
      <c r="Q41" s="10" t="str">
        <f>IF(COUNTIF(Lists!$E$5:$E$9,G41)=0,"PROJECT?","")</f>
        <v/>
      </c>
      <c r="R41" s="10" t="str">
        <f t="shared" si="4"/>
        <v/>
      </c>
      <c r="S41" s="10" t="str">
        <f>IF(AND(I41="Y",N41="",COUNTIF(Billing_Data!$H$5:$H$319,M41)=0),"NOT BILLED","")</f>
        <v/>
      </c>
      <c r="T41" s="14">
        <f t="shared" si="5"/>
        <v>0</v>
      </c>
      <c r="U41" s="15">
        <f t="shared" si="6"/>
        <v>592</v>
      </c>
    </row>
    <row r="42" spans="1:21" x14ac:dyDescent="0.25">
      <c r="A42" s="7" t="s">
        <v>84</v>
      </c>
      <c r="B42" s="7" t="s">
        <v>72</v>
      </c>
      <c r="C42" s="8" t="str">
        <f>IFERROR(INDEX(Lists!$B$5:$B$34,MATCH(B42,Lists!$A$5:$A$34,0)),"")</f>
        <v>Taylor Calder</v>
      </c>
      <c r="D42" s="8" t="str">
        <f>IFERROR(INDEX(Lists!$C$5:$C$34,MATCH(B42,Lists!$A$5:$A$34,0)),"")</f>
        <v>Project Coordinator</v>
      </c>
      <c r="E42" s="9">
        <v>46289</v>
      </c>
      <c r="F42" s="10" t="str">
        <f t="shared" si="0"/>
        <v>Thu</v>
      </c>
      <c r="G42" s="7" t="s">
        <v>50</v>
      </c>
      <c r="H42" s="8" t="str">
        <f>IFERROR(INDEX(Lists!$F$5:$F$9,MATCH(G42,Lists!$E$5:$E$9,0)),"")</f>
        <v>Cedar Industrial (fictional)</v>
      </c>
      <c r="I42" s="8" t="str">
        <f>IFERROR(INDEX(Lists!$G$5:$G$9,MATCH(G42,Lists!$E$5:$E$9,0)),"")</f>
        <v>Y</v>
      </c>
      <c r="J42" s="11">
        <v>8</v>
      </c>
      <c r="K42" s="12">
        <v>74</v>
      </c>
      <c r="L42" s="13">
        <f>IF(I42&lt;&gt;"Y","",IFERROR(INDEX(Lists!$L$5:$L$20,MATCH(D42&amp;"|"&amp;G42,Lists!$I$5:$I$20,0)),""))</f>
        <v>74</v>
      </c>
      <c r="M42" s="10" t="str">
        <f t="shared" si="1"/>
        <v>E003|20260924|P103</v>
      </c>
      <c r="N42" s="10" t="str">
        <f>IF(COUNTIFS($M$5:M42,M42)&gt;1,"DUPLICATE","")</f>
        <v/>
      </c>
      <c r="O42" s="10" t="str">
        <f t="shared" si="2"/>
        <v/>
      </c>
      <c r="P42" s="10" t="str">
        <f t="shared" si="3"/>
        <v/>
      </c>
      <c r="Q42" s="10" t="str">
        <f>IF(COUNTIF(Lists!$E$5:$E$9,G42)=0,"PROJECT?","")</f>
        <v/>
      </c>
      <c r="R42" s="10" t="str">
        <f t="shared" si="4"/>
        <v/>
      </c>
      <c r="S42" s="10" t="str">
        <f>IF(AND(I42="Y",N42="",COUNTIF(Billing_Data!$H$5:$H$319,M42)=0),"NOT BILLED","")</f>
        <v/>
      </c>
      <c r="T42" s="14">
        <f t="shared" si="5"/>
        <v>0</v>
      </c>
      <c r="U42" s="15">
        <f t="shared" si="6"/>
        <v>592</v>
      </c>
    </row>
    <row r="43" spans="1:21" x14ac:dyDescent="0.25">
      <c r="A43" s="7" t="s">
        <v>85</v>
      </c>
      <c r="B43" s="7" t="s">
        <v>72</v>
      </c>
      <c r="C43" s="8" t="str">
        <f>IFERROR(INDEX(Lists!$B$5:$B$34,MATCH(B43,Lists!$A$5:$A$34,0)),"")</f>
        <v>Taylor Calder</v>
      </c>
      <c r="D43" s="8" t="str">
        <f>IFERROR(INDEX(Lists!$C$5:$C$34,MATCH(B43,Lists!$A$5:$A$34,0)),"")</f>
        <v>Project Coordinator</v>
      </c>
      <c r="E43" s="9">
        <v>46290</v>
      </c>
      <c r="F43" s="10" t="str">
        <f t="shared" si="0"/>
        <v>Fri</v>
      </c>
      <c r="G43" s="7" t="s">
        <v>50</v>
      </c>
      <c r="H43" s="8" t="str">
        <f>IFERROR(INDEX(Lists!$F$5:$F$9,MATCH(G43,Lists!$E$5:$E$9,0)),"")</f>
        <v>Cedar Industrial (fictional)</v>
      </c>
      <c r="I43" s="8" t="str">
        <f>IFERROR(INDEX(Lists!$G$5:$G$9,MATCH(G43,Lists!$E$5:$E$9,0)),"")</f>
        <v>Y</v>
      </c>
      <c r="J43" s="11">
        <v>8</v>
      </c>
      <c r="K43" s="12">
        <v>74</v>
      </c>
      <c r="L43" s="13">
        <f>IF(I43&lt;&gt;"Y","",IFERROR(INDEX(Lists!$L$5:$L$20,MATCH(D43&amp;"|"&amp;G43,Lists!$I$5:$I$20,0)),""))</f>
        <v>74</v>
      </c>
      <c r="M43" s="10" t="str">
        <f t="shared" si="1"/>
        <v>E003|20260925|P103</v>
      </c>
      <c r="N43" s="10" t="str">
        <f>IF(COUNTIFS($M$5:M43,M43)&gt;1,"DUPLICATE","")</f>
        <v/>
      </c>
      <c r="O43" s="10" t="str">
        <f t="shared" si="2"/>
        <v/>
      </c>
      <c r="P43" s="10" t="str">
        <f t="shared" si="3"/>
        <v/>
      </c>
      <c r="Q43" s="10" t="str">
        <f>IF(COUNTIF(Lists!$E$5:$E$9,G43)=0,"PROJECT?","")</f>
        <v/>
      </c>
      <c r="R43" s="10" t="str">
        <f t="shared" si="4"/>
        <v/>
      </c>
      <c r="S43" s="10" t="str">
        <f>IF(AND(I43="Y",N43="",COUNTIF(Billing_Data!$H$5:$H$319,M43)=0),"NOT BILLED","")</f>
        <v/>
      </c>
      <c r="T43" s="14">
        <f t="shared" si="5"/>
        <v>0</v>
      </c>
      <c r="U43" s="15">
        <f t="shared" si="6"/>
        <v>592</v>
      </c>
    </row>
    <row r="44" spans="1:21" x14ac:dyDescent="0.25">
      <c r="A44" s="7" t="s">
        <v>86</v>
      </c>
      <c r="B44" s="7" t="s">
        <v>87</v>
      </c>
      <c r="C44" s="8" t="str">
        <f>IFERROR(INDEX(Lists!$B$5:$B$34,MATCH(B44,Lists!$A$5:$A$34,0)),"")</f>
        <v>Morgan Dalton</v>
      </c>
      <c r="D44" s="8" t="str">
        <f>IFERROR(INDEX(Lists!$C$5:$C$34,MATCH(B44,Lists!$A$5:$A$34,0)),"")</f>
        <v>Project Coordinator</v>
      </c>
      <c r="E44" s="9">
        <v>46279</v>
      </c>
      <c r="F44" s="10" t="str">
        <f t="shared" si="0"/>
        <v>Mon</v>
      </c>
      <c r="G44" s="7" t="s">
        <v>74</v>
      </c>
      <c r="H44" s="8" t="str">
        <f>IFERROR(INDEX(Lists!$F$5:$F$9,MATCH(G44,Lists!$E$5:$E$9,0)),"")</f>
        <v>Delta Environmental (fictional)</v>
      </c>
      <c r="I44" s="8" t="str">
        <f>IFERROR(INDEX(Lists!$G$5:$G$9,MATCH(G44,Lists!$E$5:$E$9,0)),"")</f>
        <v>Y</v>
      </c>
      <c r="J44" s="11">
        <v>8</v>
      </c>
      <c r="K44" s="12">
        <v>86</v>
      </c>
      <c r="L44" s="13">
        <f>IF(I44&lt;&gt;"Y","",IFERROR(INDEX(Lists!$L$5:$L$20,MATCH(D44&amp;"|"&amp;G44,Lists!$I$5:$I$20,0)),""))</f>
        <v>86</v>
      </c>
      <c r="M44" s="10" t="str">
        <f t="shared" si="1"/>
        <v>E004|20260914|P104</v>
      </c>
      <c r="N44" s="10" t="str">
        <f>IF(COUNTIFS($M$5:M44,M44)&gt;1,"DUPLICATE","")</f>
        <v/>
      </c>
      <c r="O44" s="10" t="str">
        <f t="shared" si="2"/>
        <v/>
      </c>
      <c r="P44" s="10" t="str">
        <f t="shared" si="3"/>
        <v/>
      </c>
      <c r="Q44" s="10" t="str">
        <f>IF(COUNTIF(Lists!$E$5:$E$9,G44)=0,"PROJECT?","")</f>
        <v/>
      </c>
      <c r="R44" s="10" t="str">
        <f t="shared" si="4"/>
        <v/>
      </c>
      <c r="S44" s="10" t="str">
        <f>IF(AND(I44="Y",N44="",COUNTIF(Billing_Data!$H$5:$H$319,M44)=0),"NOT BILLED","")</f>
        <v/>
      </c>
      <c r="T44" s="14">
        <f t="shared" si="5"/>
        <v>0</v>
      </c>
      <c r="U44" s="15">
        <f t="shared" si="6"/>
        <v>688</v>
      </c>
    </row>
    <row r="45" spans="1:21" x14ac:dyDescent="0.25">
      <c r="A45" s="7" t="s">
        <v>88</v>
      </c>
      <c r="B45" s="7" t="s">
        <v>87</v>
      </c>
      <c r="C45" s="8" t="str">
        <f>IFERROR(INDEX(Lists!$B$5:$B$34,MATCH(B45,Lists!$A$5:$A$34,0)),"")</f>
        <v>Morgan Dalton</v>
      </c>
      <c r="D45" s="8" t="str">
        <f>IFERROR(INDEX(Lists!$C$5:$C$34,MATCH(B45,Lists!$A$5:$A$34,0)),"")</f>
        <v>Project Coordinator</v>
      </c>
      <c r="E45" s="9">
        <v>46280</v>
      </c>
      <c r="F45" s="10" t="str">
        <f t="shared" si="0"/>
        <v>Tue</v>
      </c>
      <c r="G45" s="7" t="s">
        <v>74</v>
      </c>
      <c r="H45" s="8" t="str">
        <f>IFERROR(INDEX(Lists!$F$5:$F$9,MATCH(G45,Lists!$E$5:$E$9,0)),"")</f>
        <v>Delta Environmental (fictional)</v>
      </c>
      <c r="I45" s="8" t="str">
        <f>IFERROR(INDEX(Lists!$G$5:$G$9,MATCH(G45,Lists!$E$5:$E$9,0)),"")</f>
        <v>Y</v>
      </c>
      <c r="J45" s="11">
        <v>8</v>
      </c>
      <c r="K45" s="12">
        <v>78</v>
      </c>
      <c r="L45" s="13">
        <f>IF(I45&lt;&gt;"Y","",IFERROR(INDEX(Lists!$L$5:$L$20,MATCH(D45&amp;"|"&amp;G45,Lists!$I$5:$I$20,0)),""))</f>
        <v>86</v>
      </c>
      <c r="M45" s="10" t="str">
        <f t="shared" si="1"/>
        <v>E004|20260915|P104</v>
      </c>
      <c r="N45" s="10" t="str">
        <f>IF(COUNTIFS($M$5:M45,M45)&gt;1,"DUPLICATE","")</f>
        <v/>
      </c>
      <c r="O45" s="10" t="str">
        <f t="shared" si="2"/>
        <v/>
      </c>
      <c r="P45" s="10" t="str">
        <f t="shared" si="3"/>
        <v/>
      </c>
      <c r="Q45" s="10" t="str">
        <f>IF(COUNTIF(Lists!$E$5:$E$9,G45)=0,"PROJECT?","")</f>
        <v/>
      </c>
      <c r="R45" s="10" t="str">
        <f t="shared" si="4"/>
        <v>RATE</v>
      </c>
      <c r="S45" s="10" t="str">
        <f>IF(AND(I45="Y",N45="",COUNTIF(Billing_Data!$H$5:$H$319,M45)=0),"NOT BILLED","")</f>
        <v/>
      </c>
      <c r="T45" s="14">
        <f t="shared" si="5"/>
        <v>1</v>
      </c>
      <c r="U45" s="15">
        <f t="shared" si="6"/>
        <v>688</v>
      </c>
    </row>
    <row r="46" spans="1:21" x14ac:dyDescent="0.25">
      <c r="A46" s="7" t="s">
        <v>89</v>
      </c>
      <c r="B46" s="7" t="s">
        <v>87</v>
      </c>
      <c r="C46" s="8" t="str">
        <f>IFERROR(INDEX(Lists!$B$5:$B$34,MATCH(B46,Lists!$A$5:$A$34,0)),"")</f>
        <v>Morgan Dalton</v>
      </c>
      <c r="D46" s="8" t="str">
        <f>IFERROR(INDEX(Lists!$C$5:$C$34,MATCH(B46,Lists!$A$5:$A$34,0)),"")</f>
        <v>Project Coordinator</v>
      </c>
      <c r="E46" s="9">
        <v>46281</v>
      </c>
      <c r="F46" s="10" t="str">
        <f t="shared" si="0"/>
        <v>Wed</v>
      </c>
      <c r="G46" s="7" t="s">
        <v>74</v>
      </c>
      <c r="H46" s="8" t="str">
        <f>IFERROR(INDEX(Lists!$F$5:$F$9,MATCH(G46,Lists!$E$5:$E$9,0)),"")</f>
        <v>Delta Environmental (fictional)</v>
      </c>
      <c r="I46" s="8" t="str">
        <f>IFERROR(INDEX(Lists!$G$5:$G$9,MATCH(G46,Lists!$E$5:$E$9,0)),"")</f>
        <v>Y</v>
      </c>
      <c r="J46" s="11">
        <v>8</v>
      </c>
      <c r="K46" s="12">
        <v>86</v>
      </c>
      <c r="L46" s="13">
        <f>IF(I46&lt;&gt;"Y","",IFERROR(INDEX(Lists!$L$5:$L$20,MATCH(D46&amp;"|"&amp;G46,Lists!$I$5:$I$20,0)),""))</f>
        <v>86</v>
      </c>
      <c r="M46" s="10" t="str">
        <f t="shared" si="1"/>
        <v>E004|20260916|P104</v>
      </c>
      <c r="N46" s="10" t="str">
        <f>IF(COUNTIFS($M$5:M46,M46)&gt;1,"DUPLICATE","")</f>
        <v/>
      </c>
      <c r="O46" s="10" t="str">
        <f t="shared" si="2"/>
        <v/>
      </c>
      <c r="P46" s="10" t="str">
        <f t="shared" si="3"/>
        <v/>
      </c>
      <c r="Q46" s="10" t="str">
        <f>IF(COUNTIF(Lists!$E$5:$E$9,G46)=0,"PROJECT?","")</f>
        <v/>
      </c>
      <c r="R46" s="10" t="str">
        <f t="shared" si="4"/>
        <v/>
      </c>
      <c r="S46" s="10" t="str">
        <f>IF(AND(I46="Y",N46="",COUNTIF(Billing_Data!$H$5:$H$319,M46)=0),"NOT BILLED","")</f>
        <v/>
      </c>
      <c r="T46" s="14">
        <f t="shared" si="5"/>
        <v>0</v>
      </c>
      <c r="U46" s="15">
        <f t="shared" si="6"/>
        <v>688</v>
      </c>
    </row>
    <row r="47" spans="1:21" x14ac:dyDescent="0.25">
      <c r="A47" s="7" t="s">
        <v>90</v>
      </c>
      <c r="B47" s="7" t="s">
        <v>87</v>
      </c>
      <c r="C47" s="8" t="str">
        <f>IFERROR(INDEX(Lists!$B$5:$B$34,MATCH(B47,Lists!$A$5:$A$34,0)),"")</f>
        <v>Morgan Dalton</v>
      </c>
      <c r="D47" s="8" t="str">
        <f>IFERROR(INDEX(Lists!$C$5:$C$34,MATCH(B47,Lists!$A$5:$A$34,0)),"")</f>
        <v>Project Coordinator</v>
      </c>
      <c r="E47" s="9">
        <v>46282</v>
      </c>
      <c r="F47" s="10" t="str">
        <f t="shared" si="0"/>
        <v>Thu</v>
      </c>
      <c r="G47" s="7" t="s">
        <v>74</v>
      </c>
      <c r="H47" s="8" t="str">
        <f>IFERROR(INDEX(Lists!$F$5:$F$9,MATCH(G47,Lists!$E$5:$E$9,0)),"")</f>
        <v>Delta Environmental (fictional)</v>
      </c>
      <c r="I47" s="8" t="str">
        <f>IFERROR(INDEX(Lists!$G$5:$G$9,MATCH(G47,Lists!$E$5:$E$9,0)),"")</f>
        <v>Y</v>
      </c>
      <c r="J47" s="11">
        <v>8</v>
      </c>
      <c r="K47" s="12">
        <v>86</v>
      </c>
      <c r="L47" s="13">
        <f>IF(I47&lt;&gt;"Y","",IFERROR(INDEX(Lists!$L$5:$L$20,MATCH(D47&amp;"|"&amp;G47,Lists!$I$5:$I$20,0)),""))</f>
        <v>86</v>
      </c>
      <c r="M47" s="10" t="str">
        <f t="shared" si="1"/>
        <v>E004|20260917|P104</v>
      </c>
      <c r="N47" s="10" t="str">
        <f>IF(COUNTIFS($M$5:M47,M47)&gt;1,"DUPLICATE","")</f>
        <v/>
      </c>
      <c r="O47" s="10" t="str">
        <f t="shared" si="2"/>
        <v/>
      </c>
      <c r="P47" s="10" t="str">
        <f t="shared" si="3"/>
        <v/>
      </c>
      <c r="Q47" s="10" t="str">
        <f>IF(COUNTIF(Lists!$E$5:$E$9,G47)=0,"PROJECT?","")</f>
        <v/>
      </c>
      <c r="R47" s="10" t="str">
        <f t="shared" si="4"/>
        <v/>
      </c>
      <c r="S47" s="10" t="str">
        <f>IF(AND(I47="Y",N47="",COUNTIF(Billing_Data!$H$5:$H$319,M47)=0),"NOT BILLED","")</f>
        <v/>
      </c>
      <c r="T47" s="14">
        <f t="shared" si="5"/>
        <v>0</v>
      </c>
      <c r="U47" s="15">
        <f t="shared" si="6"/>
        <v>688</v>
      </c>
    </row>
    <row r="48" spans="1:21" x14ac:dyDescent="0.25">
      <c r="A48" s="7" t="s">
        <v>91</v>
      </c>
      <c r="B48" s="7" t="s">
        <v>87</v>
      </c>
      <c r="C48" s="8" t="str">
        <f>IFERROR(INDEX(Lists!$B$5:$B$34,MATCH(B48,Lists!$A$5:$A$34,0)),"")</f>
        <v>Morgan Dalton</v>
      </c>
      <c r="D48" s="8" t="str">
        <f>IFERROR(INDEX(Lists!$C$5:$C$34,MATCH(B48,Lists!$A$5:$A$34,0)),"")</f>
        <v>Project Coordinator</v>
      </c>
      <c r="E48" s="9">
        <v>46283</v>
      </c>
      <c r="F48" s="10" t="str">
        <f t="shared" si="0"/>
        <v>Fri</v>
      </c>
      <c r="G48" s="7" t="s">
        <v>74</v>
      </c>
      <c r="H48" s="8" t="str">
        <f>IFERROR(INDEX(Lists!$F$5:$F$9,MATCH(G48,Lists!$E$5:$E$9,0)),"")</f>
        <v>Delta Environmental (fictional)</v>
      </c>
      <c r="I48" s="8" t="str">
        <f>IFERROR(INDEX(Lists!$G$5:$G$9,MATCH(G48,Lists!$E$5:$E$9,0)),"")</f>
        <v>Y</v>
      </c>
      <c r="J48" s="11">
        <v>8</v>
      </c>
      <c r="K48" s="12">
        <v>86</v>
      </c>
      <c r="L48" s="13">
        <f>IF(I48&lt;&gt;"Y","",IFERROR(INDEX(Lists!$L$5:$L$20,MATCH(D48&amp;"|"&amp;G48,Lists!$I$5:$I$20,0)),""))</f>
        <v>86</v>
      </c>
      <c r="M48" s="10" t="str">
        <f t="shared" si="1"/>
        <v>E004|20260918|P104</v>
      </c>
      <c r="N48" s="10" t="str">
        <f>IF(COUNTIFS($M$5:M48,M48)&gt;1,"DUPLICATE","")</f>
        <v/>
      </c>
      <c r="O48" s="10" t="str">
        <f t="shared" si="2"/>
        <v/>
      </c>
      <c r="P48" s="10" t="str">
        <f t="shared" si="3"/>
        <v/>
      </c>
      <c r="Q48" s="10" t="str">
        <f>IF(COUNTIF(Lists!$E$5:$E$9,G48)=0,"PROJECT?","")</f>
        <v/>
      </c>
      <c r="R48" s="10" t="str">
        <f t="shared" si="4"/>
        <v/>
      </c>
      <c r="S48" s="10" t="str">
        <f>IF(AND(I48="Y",N48="",COUNTIF(Billing_Data!$H$5:$H$319,M48)=0),"NOT BILLED","")</f>
        <v/>
      </c>
      <c r="T48" s="14">
        <f t="shared" si="5"/>
        <v>0</v>
      </c>
      <c r="U48" s="15">
        <f t="shared" si="6"/>
        <v>688</v>
      </c>
    </row>
    <row r="49" spans="1:21" x14ac:dyDescent="0.25">
      <c r="A49" s="7" t="s">
        <v>92</v>
      </c>
      <c r="B49" s="7" t="s">
        <v>87</v>
      </c>
      <c r="C49" s="8" t="str">
        <f>IFERROR(INDEX(Lists!$B$5:$B$34,MATCH(B49,Lists!$A$5:$A$34,0)),"")</f>
        <v>Morgan Dalton</v>
      </c>
      <c r="D49" s="8" t="str">
        <f>IFERROR(INDEX(Lists!$C$5:$C$34,MATCH(B49,Lists!$A$5:$A$34,0)),"")</f>
        <v>Project Coordinator</v>
      </c>
      <c r="E49" s="9">
        <v>46286</v>
      </c>
      <c r="F49" s="10" t="str">
        <f t="shared" si="0"/>
        <v>Mon</v>
      </c>
      <c r="G49" s="7" t="s">
        <v>74</v>
      </c>
      <c r="H49" s="8" t="str">
        <f>IFERROR(INDEX(Lists!$F$5:$F$9,MATCH(G49,Lists!$E$5:$E$9,0)),"")</f>
        <v>Delta Environmental (fictional)</v>
      </c>
      <c r="I49" s="8" t="str">
        <f>IFERROR(INDEX(Lists!$G$5:$G$9,MATCH(G49,Lists!$E$5:$E$9,0)),"")</f>
        <v>Y</v>
      </c>
      <c r="J49" s="11">
        <v>8</v>
      </c>
      <c r="K49" s="12">
        <v>86</v>
      </c>
      <c r="L49" s="13">
        <f>IF(I49&lt;&gt;"Y","",IFERROR(INDEX(Lists!$L$5:$L$20,MATCH(D49&amp;"|"&amp;G49,Lists!$I$5:$I$20,0)),""))</f>
        <v>86</v>
      </c>
      <c r="M49" s="10" t="str">
        <f t="shared" si="1"/>
        <v>E004|20260921|P104</v>
      </c>
      <c r="N49" s="10" t="str">
        <f>IF(COUNTIFS($M$5:M49,M49)&gt;1,"DUPLICATE","")</f>
        <v/>
      </c>
      <c r="O49" s="10" t="str">
        <f t="shared" si="2"/>
        <v/>
      </c>
      <c r="P49" s="10" t="str">
        <f t="shared" si="3"/>
        <v/>
      </c>
      <c r="Q49" s="10" t="str">
        <f>IF(COUNTIF(Lists!$E$5:$E$9,G49)=0,"PROJECT?","")</f>
        <v/>
      </c>
      <c r="R49" s="10" t="str">
        <f t="shared" si="4"/>
        <v/>
      </c>
      <c r="S49" s="10" t="str">
        <f>IF(AND(I49="Y",N49="",COUNTIF(Billing_Data!$H$5:$H$319,M49)=0),"NOT BILLED","")</f>
        <v/>
      </c>
      <c r="T49" s="14">
        <f t="shared" si="5"/>
        <v>0</v>
      </c>
      <c r="U49" s="15">
        <f t="shared" si="6"/>
        <v>688</v>
      </c>
    </row>
    <row r="50" spans="1:21" x14ac:dyDescent="0.25">
      <c r="A50" s="7" t="s">
        <v>93</v>
      </c>
      <c r="B50" s="7" t="s">
        <v>87</v>
      </c>
      <c r="C50" s="8" t="str">
        <f>IFERROR(INDEX(Lists!$B$5:$B$34,MATCH(B50,Lists!$A$5:$A$34,0)),"")</f>
        <v>Morgan Dalton</v>
      </c>
      <c r="D50" s="8" t="str">
        <f>IFERROR(INDEX(Lists!$C$5:$C$34,MATCH(B50,Lists!$A$5:$A$34,0)),"")</f>
        <v>Project Coordinator</v>
      </c>
      <c r="E50" s="9">
        <v>46287</v>
      </c>
      <c r="F50" s="10" t="str">
        <f t="shared" si="0"/>
        <v>Tue</v>
      </c>
      <c r="G50" s="7" t="s">
        <v>74</v>
      </c>
      <c r="H50" s="8" t="str">
        <f>IFERROR(INDEX(Lists!$F$5:$F$9,MATCH(G50,Lists!$E$5:$E$9,0)),"")</f>
        <v>Delta Environmental (fictional)</v>
      </c>
      <c r="I50" s="8" t="str">
        <f>IFERROR(INDEX(Lists!$G$5:$G$9,MATCH(G50,Lists!$E$5:$E$9,0)),"")</f>
        <v>Y</v>
      </c>
      <c r="J50" s="11">
        <v>8</v>
      </c>
      <c r="K50" s="12">
        <v>86</v>
      </c>
      <c r="L50" s="13">
        <f>IF(I50&lt;&gt;"Y","",IFERROR(INDEX(Lists!$L$5:$L$20,MATCH(D50&amp;"|"&amp;G50,Lists!$I$5:$I$20,0)),""))</f>
        <v>86</v>
      </c>
      <c r="M50" s="10" t="str">
        <f t="shared" si="1"/>
        <v>E004|20260922|P104</v>
      </c>
      <c r="N50" s="10" t="str">
        <f>IF(COUNTIFS($M$5:M50,M50)&gt;1,"DUPLICATE","")</f>
        <v/>
      </c>
      <c r="O50" s="10" t="str">
        <f t="shared" si="2"/>
        <v/>
      </c>
      <c r="P50" s="10" t="str">
        <f t="shared" si="3"/>
        <v/>
      </c>
      <c r="Q50" s="10" t="str">
        <f>IF(COUNTIF(Lists!$E$5:$E$9,G50)=0,"PROJECT?","")</f>
        <v/>
      </c>
      <c r="R50" s="10" t="str">
        <f t="shared" si="4"/>
        <v/>
      </c>
      <c r="S50" s="10" t="str">
        <f>IF(AND(I50="Y",N50="",COUNTIF(Billing_Data!$H$5:$H$319,M50)=0),"NOT BILLED","")</f>
        <v/>
      </c>
      <c r="T50" s="14">
        <f t="shared" si="5"/>
        <v>0</v>
      </c>
      <c r="U50" s="15">
        <f t="shared" si="6"/>
        <v>688</v>
      </c>
    </row>
    <row r="51" spans="1:21" x14ac:dyDescent="0.25">
      <c r="A51" s="7" t="s">
        <v>94</v>
      </c>
      <c r="B51" s="7" t="s">
        <v>87</v>
      </c>
      <c r="C51" s="8" t="str">
        <f>IFERROR(INDEX(Lists!$B$5:$B$34,MATCH(B51,Lists!$A$5:$A$34,0)),"")</f>
        <v>Morgan Dalton</v>
      </c>
      <c r="D51" s="8" t="str">
        <f>IFERROR(INDEX(Lists!$C$5:$C$34,MATCH(B51,Lists!$A$5:$A$34,0)),"")</f>
        <v>Project Coordinator</v>
      </c>
      <c r="E51" s="9">
        <v>46288</v>
      </c>
      <c r="F51" s="10" t="str">
        <f t="shared" si="0"/>
        <v>Wed</v>
      </c>
      <c r="G51" s="7" t="s">
        <v>74</v>
      </c>
      <c r="H51" s="8" t="str">
        <f>IFERROR(INDEX(Lists!$F$5:$F$9,MATCH(G51,Lists!$E$5:$E$9,0)),"")</f>
        <v>Delta Environmental (fictional)</v>
      </c>
      <c r="I51" s="8" t="str">
        <f>IFERROR(INDEX(Lists!$G$5:$G$9,MATCH(G51,Lists!$E$5:$E$9,0)),"")</f>
        <v>Y</v>
      </c>
      <c r="J51" s="11">
        <v>4</v>
      </c>
      <c r="K51" s="12">
        <v>86</v>
      </c>
      <c r="L51" s="13">
        <f>IF(I51&lt;&gt;"Y","",IFERROR(INDEX(Lists!$L$5:$L$20,MATCH(D51&amp;"|"&amp;G51,Lists!$I$5:$I$20,0)),""))</f>
        <v>86</v>
      </c>
      <c r="M51" s="10" t="str">
        <f t="shared" si="1"/>
        <v>E004|20260923|P104</v>
      </c>
      <c r="N51" s="10" t="str">
        <f>IF(COUNTIFS($M$5:M51,M51)&gt;1,"DUPLICATE","")</f>
        <v/>
      </c>
      <c r="O51" s="10" t="str">
        <f t="shared" si="2"/>
        <v/>
      </c>
      <c r="P51" s="10" t="str">
        <f t="shared" si="3"/>
        <v/>
      </c>
      <c r="Q51" s="10" t="str">
        <f>IF(COUNTIF(Lists!$E$5:$E$9,G51)=0,"PROJECT?","")</f>
        <v/>
      </c>
      <c r="R51" s="10" t="str">
        <f t="shared" si="4"/>
        <v/>
      </c>
      <c r="S51" s="10" t="str">
        <f>IF(AND(I51="Y",N51="",COUNTIF(Billing_Data!$H$5:$H$319,M51)=0),"NOT BILLED","")</f>
        <v/>
      </c>
      <c r="T51" s="14">
        <f t="shared" si="5"/>
        <v>0</v>
      </c>
      <c r="U51" s="15">
        <f t="shared" si="6"/>
        <v>344</v>
      </c>
    </row>
    <row r="52" spans="1:21" x14ac:dyDescent="0.25">
      <c r="A52" s="7" t="s">
        <v>95</v>
      </c>
      <c r="B52" s="7" t="s">
        <v>87</v>
      </c>
      <c r="C52" s="8" t="str">
        <f>IFERROR(INDEX(Lists!$B$5:$B$34,MATCH(B52,Lists!$A$5:$A$34,0)),"")</f>
        <v>Morgan Dalton</v>
      </c>
      <c r="D52" s="8" t="str">
        <f>IFERROR(INDEX(Lists!$C$5:$C$34,MATCH(B52,Lists!$A$5:$A$34,0)),"")</f>
        <v>Project Coordinator</v>
      </c>
      <c r="E52" s="9">
        <v>46288</v>
      </c>
      <c r="F52" s="10" t="str">
        <f t="shared" si="0"/>
        <v>Wed</v>
      </c>
      <c r="G52" s="7" t="s">
        <v>50</v>
      </c>
      <c r="H52" s="8" t="str">
        <f>IFERROR(INDEX(Lists!$F$5:$F$9,MATCH(G52,Lists!$E$5:$E$9,0)),"")</f>
        <v>Cedar Industrial (fictional)</v>
      </c>
      <c r="I52" s="8" t="str">
        <f>IFERROR(INDEX(Lists!$G$5:$G$9,MATCH(G52,Lists!$E$5:$E$9,0)),"")</f>
        <v>Y</v>
      </c>
      <c r="J52" s="11">
        <v>4</v>
      </c>
      <c r="K52" s="12">
        <v>74</v>
      </c>
      <c r="L52" s="13">
        <f>IF(I52&lt;&gt;"Y","",IFERROR(INDEX(Lists!$L$5:$L$20,MATCH(D52&amp;"|"&amp;G52,Lists!$I$5:$I$20,0)),""))</f>
        <v>74</v>
      </c>
      <c r="M52" s="10" t="str">
        <f t="shared" si="1"/>
        <v>E004|20260923|P103</v>
      </c>
      <c r="N52" s="10" t="str">
        <f>IF(COUNTIFS($M$5:M52,M52)&gt;1,"DUPLICATE","")</f>
        <v/>
      </c>
      <c r="O52" s="10" t="str">
        <f t="shared" si="2"/>
        <v/>
      </c>
      <c r="P52" s="10" t="str">
        <f t="shared" si="3"/>
        <v/>
      </c>
      <c r="Q52" s="10" t="str">
        <f>IF(COUNTIF(Lists!$E$5:$E$9,G52)=0,"PROJECT?","")</f>
        <v/>
      </c>
      <c r="R52" s="10" t="str">
        <f t="shared" si="4"/>
        <v/>
      </c>
      <c r="S52" s="10" t="str">
        <f>IF(AND(I52="Y",N52="",COUNTIF(Billing_Data!$H$5:$H$319,M52)=0),"NOT BILLED","")</f>
        <v/>
      </c>
      <c r="T52" s="14">
        <f t="shared" si="5"/>
        <v>0</v>
      </c>
      <c r="U52" s="15">
        <f t="shared" si="6"/>
        <v>296</v>
      </c>
    </row>
    <row r="53" spans="1:21" x14ac:dyDescent="0.25">
      <c r="A53" s="7" t="s">
        <v>96</v>
      </c>
      <c r="B53" s="7" t="s">
        <v>87</v>
      </c>
      <c r="C53" s="8" t="str">
        <f>IFERROR(INDEX(Lists!$B$5:$B$34,MATCH(B53,Lists!$A$5:$A$34,0)),"")</f>
        <v>Morgan Dalton</v>
      </c>
      <c r="D53" s="8" t="str">
        <f>IFERROR(INDEX(Lists!$C$5:$C$34,MATCH(B53,Lists!$A$5:$A$34,0)),"")</f>
        <v>Project Coordinator</v>
      </c>
      <c r="E53" s="9">
        <v>46289</v>
      </c>
      <c r="F53" s="10" t="str">
        <f t="shared" si="0"/>
        <v>Thu</v>
      </c>
      <c r="G53" s="7" t="s">
        <v>74</v>
      </c>
      <c r="H53" s="8" t="str">
        <f>IFERROR(INDEX(Lists!$F$5:$F$9,MATCH(G53,Lists!$E$5:$E$9,0)),"")</f>
        <v>Delta Environmental (fictional)</v>
      </c>
      <c r="I53" s="8" t="str">
        <f>IFERROR(INDEX(Lists!$G$5:$G$9,MATCH(G53,Lists!$E$5:$E$9,0)),"")</f>
        <v>Y</v>
      </c>
      <c r="J53" s="11">
        <v>8</v>
      </c>
      <c r="K53" s="12">
        <v>86</v>
      </c>
      <c r="L53" s="13">
        <f>IF(I53&lt;&gt;"Y","",IFERROR(INDEX(Lists!$L$5:$L$20,MATCH(D53&amp;"|"&amp;G53,Lists!$I$5:$I$20,0)),""))</f>
        <v>86</v>
      </c>
      <c r="M53" s="10" t="str">
        <f t="shared" si="1"/>
        <v>E004|20260924|P104</v>
      </c>
      <c r="N53" s="10" t="str">
        <f>IF(COUNTIFS($M$5:M53,M53)&gt;1,"DUPLICATE","")</f>
        <v/>
      </c>
      <c r="O53" s="10" t="str">
        <f t="shared" si="2"/>
        <v/>
      </c>
      <c r="P53" s="10" t="str">
        <f t="shared" si="3"/>
        <v/>
      </c>
      <c r="Q53" s="10" t="str">
        <f>IF(COUNTIF(Lists!$E$5:$E$9,G53)=0,"PROJECT?","")</f>
        <v/>
      </c>
      <c r="R53" s="10" t="str">
        <f t="shared" si="4"/>
        <v/>
      </c>
      <c r="S53" s="10" t="str">
        <f>IF(AND(I53="Y",N53="",COUNTIF(Billing_Data!$H$5:$H$319,M53)=0),"NOT BILLED","")</f>
        <v/>
      </c>
      <c r="T53" s="14">
        <f t="shared" si="5"/>
        <v>0</v>
      </c>
      <c r="U53" s="15">
        <f t="shared" si="6"/>
        <v>688</v>
      </c>
    </row>
    <row r="54" spans="1:21" x14ac:dyDescent="0.25">
      <c r="A54" s="7" t="s">
        <v>97</v>
      </c>
      <c r="B54" s="7" t="s">
        <v>87</v>
      </c>
      <c r="C54" s="8" t="str">
        <f>IFERROR(INDEX(Lists!$B$5:$B$34,MATCH(B54,Lists!$A$5:$A$34,0)),"")</f>
        <v>Morgan Dalton</v>
      </c>
      <c r="D54" s="8" t="str">
        <f>IFERROR(INDEX(Lists!$C$5:$C$34,MATCH(B54,Lists!$A$5:$A$34,0)),"")</f>
        <v>Project Coordinator</v>
      </c>
      <c r="E54" s="9">
        <v>46290</v>
      </c>
      <c r="F54" s="10" t="str">
        <f t="shared" si="0"/>
        <v>Fri</v>
      </c>
      <c r="G54" s="7" t="s">
        <v>74</v>
      </c>
      <c r="H54" s="8" t="str">
        <f>IFERROR(INDEX(Lists!$F$5:$F$9,MATCH(G54,Lists!$E$5:$E$9,0)),"")</f>
        <v>Delta Environmental (fictional)</v>
      </c>
      <c r="I54" s="8" t="str">
        <f>IFERROR(INDEX(Lists!$G$5:$G$9,MATCH(G54,Lists!$E$5:$E$9,0)),"")</f>
        <v>Y</v>
      </c>
      <c r="J54" s="11">
        <v>8</v>
      </c>
      <c r="K54" s="12">
        <v>86</v>
      </c>
      <c r="L54" s="13">
        <f>IF(I54&lt;&gt;"Y","",IFERROR(INDEX(Lists!$L$5:$L$20,MATCH(D54&amp;"|"&amp;G54,Lists!$I$5:$I$20,0)),""))</f>
        <v>86</v>
      </c>
      <c r="M54" s="10" t="str">
        <f t="shared" si="1"/>
        <v>E004|20260925|P104</v>
      </c>
      <c r="N54" s="10" t="str">
        <f>IF(COUNTIFS($M$5:M54,M54)&gt;1,"DUPLICATE","")</f>
        <v/>
      </c>
      <c r="O54" s="10" t="str">
        <f t="shared" si="2"/>
        <v/>
      </c>
      <c r="P54" s="10" t="str">
        <f t="shared" si="3"/>
        <v/>
      </c>
      <c r="Q54" s="10" t="str">
        <f>IF(COUNTIF(Lists!$E$5:$E$9,G54)=0,"PROJECT?","")</f>
        <v/>
      </c>
      <c r="R54" s="10" t="str">
        <f t="shared" si="4"/>
        <v/>
      </c>
      <c r="S54" s="10" t="str">
        <f>IF(AND(I54="Y",N54="",COUNTIF(Billing_Data!$H$5:$H$319,M54)=0),"NOT BILLED","")</f>
        <v/>
      </c>
      <c r="T54" s="14">
        <f t="shared" si="5"/>
        <v>0</v>
      </c>
      <c r="U54" s="15">
        <f t="shared" si="6"/>
        <v>688</v>
      </c>
    </row>
    <row r="55" spans="1:21" x14ac:dyDescent="0.25">
      <c r="A55" s="7" t="s">
        <v>98</v>
      </c>
      <c r="B55" s="7" t="s">
        <v>99</v>
      </c>
      <c r="C55" s="8" t="str">
        <f>IFERROR(INDEX(Lists!$B$5:$B$34,MATCH(B55,Lists!$A$5:$A$34,0)),"")</f>
        <v>Riley Easton</v>
      </c>
      <c r="D55" s="8" t="str">
        <f>IFERROR(INDEX(Lists!$C$5:$C$34,MATCH(B55,Lists!$A$5:$A$34,0)),"")</f>
        <v>Project Coordinator</v>
      </c>
      <c r="E55" s="9">
        <v>46279</v>
      </c>
      <c r="F55" s="10" t="str">
        <f t="shared" si="0"/>
        <v>Mon</v>
      </c>
      <c r="G55" s="7" t="s">
        <v>41</v>
      </c>
      <c r="H55" s="8" t="str">
        <f>IFERROR(INDEX(Lists!$F$5:$F$9,MATCH(G55,Lists!$E$5:$E$9,0)),"")</f>
        <v>Alder Energy (fictional)</v>
      </c>
      <c r="I55" s="8" t="str">
        <f>IFERROR(INDEX(Lists!$G$5:$G$9,MATCH(G55,Lists!$E$5:$E$9,0)),"")</f>
        <v>Y</v>
      </c>
      <c r="J55" s="11">
        <v>8</v>
      </c>
      <c r="K55" s="12">
        <v>78</v>
      </c>
      <c r="L55" s="13">
        <f>IF(I55&lt;&gt;"Y","",IFERROR(INDEX(Lists!$L$5:$L$20,MATCH(D55&amp;"|"&amp;G55,Lists!$I$5:$I$20,0)),""))</f>
        <v>78</v>
      </c>
      <c r="M55" s="10" t="str">
        <f t="shared" si="1"/>
        <v>E005|20260914|P101</v>
      </c>
      <c r="N55" s="10" t="str">
        <f>IF(COUNTIFS($M$5:M55,M55)&gt;1,"DUPLICATE","")</f>
        <v/>
      </c>
      <c r="O55" s="10" t="str">
        <f t="shared" si="2"/>
        <v/>
      </c>
      <c r="P55" s="10" t="str">
        <f t="shared" si="3"/>
        <v/>
      </c>
      <c r="Q55" s="10" t="str">
        <f>IF(COUNTIF(Lists!$E$5:$E$9,G55)=0,"PROJECT?","")</f>
        <v/>
      </c>
      <c r="R55" s="10" t="str">
        <f t="shared" si="4"/>
        <v/>
      </c>
      <c r="S55" s="10" t="str">
        <f>IF(AND(I55="Y",N55="",COUNTIF(Billing_Data!$H$5:$H$319,M55)=0),"NOT BILLED","")</f>
        <v/>
      </c>
      <c r="T55" s="14">
        <f t="shared" si="5"/>
        <v>0</v>
      </c>
      <c r="U55" s="15">
        <f t="shared" si="6"/>
        <v>624</v>
      </c>
    </row>
    <row r="56" spans="1:21" x14ac:dyDescent="0.25">
      <c r="A56" s="7" t="s">
        <v>100</v>
      </c>
      <c r="B56" s="7" t="s">
        <v>99</v>
      </c>
      <c r="C56" s="8" t="str">
        <f>IFERROR(INDEX(Lists!$B$5:$B$34,MATCH(B56,Lists!$A$5:$A$34,0)),"")</f>
        <v>Riley Easton</v>
      </c>
      <c r="D56" s="8" t="str">
        <f>IFERROR(INDEX(Lists!$C$5:$C$34,MATCH(B56,Lists!$A$5:$A$34,0)),"")</f>
        <v>Project Coordinator</v>
      </c>
      <c r="E56" s="9">
        <v>46280</v>
      </c>
      <c r="F56" s="10" t="str">
        <f t="shared" si="0"/>
        <v>Tue</v>
      </c>
      <c r="G56" s="7" t="s">
        <v>41</v>
      </c>
      <c r="H56" s="8" t="str">
        <f>IFERROR(INDEX(Lists!$F$5:$F$9,MATCH(G56,Lists!$E$5:$E$9,0)),"")</f>
        <v>Alder Energy (fictional)</v>
      </c>
      <c r="I56" s="8" t="str">
        <f>IFERROR(INDEX(Lists!$G$5:$G$9,MATCH(G56,Lists!$E$5:$E$9,0)),"")</f>
        <v>Y</v>
      </c>
      <c r="J56" s="11">
        <v>8</v>
      </c>
      <c r="K56" s="12">
        <v>78</v>
      </c>
      <c r="L56" s="13">
        <f>IF(I56&lt;&gt;"Y","",IFERROR(INDEX(Lists!$L$5:$L$20,MATCH(D56&amp;"|"&amp;G56,Lists!$I$5:$I$20,0)),""))</f>
        <v>78</v>
      </c>
      <c r="M56" s="10" t="str">
        <f t="shared" si="1"/>
        <v>E005|20260915|P101</v>
      </c>
      <c r="N56" s="10" t="str">
        <f>IF(COUNTIFS($M$5:M56,M56)&gt;1,"DUPLICATE","")</f>
        <v/>
      </c>
      <c r="O56" s="10" t="str">
        <f t="shared" si="2"/>
        <v/>
      </c>
      <c r="P56" s="10" t="str">
        <f t="shared" si="3"/>
        <v/>
      </c>
      <c r="Q56" s="10" t="str">
        <f>IF(COUNTIF(Lists!$E$5:$E$9,G56)=0,"PROJECT?","")</f>
        <v/>
      </c>
      <c r="R56" s="10" t="str">
        <f t="shared" si="4"/>
        <v/>
      </c>
      <c r="S56" s="10" t="str">
        <f>IF(AND(I56="Y",N56="",COUNTIF(Billing_Data!$H$5:$H$319,M56)=0),"NOT BILLED","")</f>
        <v/>
      </c>
      <c r="T56" s="14">
        <f t="shared" si="5"/>
        <v>0</v>
      </c>
      <c r="U56" s="15">
        <f t="shared" si="6"/>
        <v>624</v>
      </c>
    </row>
    <row r="57" spans="1:21" x14ac:dyDescent="0.25">
      <c r="A57" s="7" t="s">
        <v>101</v>
      </c>
      <c r="B57" s="7" t="s">
        <v>99</v>
      </c>
      <c r="C57" s="8" t="str">
        <f>IFERROR(INDEX(Lists!$B$5:$B$34,MATCH(B57,Lists!$A$5:$A$34,0)),"")</f>
        <v>Riley Easton</v>
      </c>
      <c r="D57" s="8" t="str">
        <f>IFERROR(INDEX(Lists!$C$5:$C$34,MATCH(B57,Lists!$A$5:$A$34,0)),"")</f>
        <v>Project Coordinator</v>
      </c>
      <c r="E57" s="9">
        <v>46282</v>
      </c>
      <c r="F57" s="10" t="str">
        <f t="shared" si="0"/>
        <v>Thu</v>
      </c>
      <c r="G57" s="7" t="s">
        <v>41</v>
      </c>
      <c r="H57" s="8" t="str">
        <f>IFERROR(INDEX(Lists!$F$5:$F$9,MATCH(G57,Lists!$E$5:$E$9,0)),"")</f>
        <v>Alder Energy (fictional)</v>
      </c>
      <c r="I57" s="8" t="str">
        <f>IFERROR(INDEX(Lists!$G$5:$G$9,MATCH(G57,Lists!$E$5:$E$9,0)),"")</f>
        <v>Y</v>
      </c>
      <c r="J57" s="11">
        <v>8</v>
      </c>
      <c r="K57" s="12">
        <v>78</v>
      </c>
      <c r="L57" s="13">
        <f>IF(I57&lt;&gt;"Y","",IFERROR(INDEX(Lists!$L$5:$L$20,MATCH(D57&amp;"|"&amp;G57,Lists!$I$5:$I$20,0)),""))</f>
        <v>78</v>
      </c>
      <c r="M57" s="10" t="str">
        <f t="shared" si="1"/>
        <v>E005|20260917|P101</v>
      </c>
      <c r="N57" s="10" t="str">
        <f>IF(COUNTIFS($M$5:M57,M57)&gt;1,"DUPLICATE","")</f>
        <v/>
      </c>
      <c r="O57" s="10" t="str">
        <f t="shared" si="2"/>
        <v/>
      </c>
      <c r="P57" s="10" t="str">
        <f t="shared" si="3"/>
        <v/>
      </c>
      <c r="Q57" s="10" t="str">
        <f>IF(COUNTIF(Lists!$E$5:$E$9,G57)=0,"PROJECT?","")</f>
        <v/>
      </c>
      <c r="R57" s="10" t="str">
        <f t="shared" si="4"/>
        <v/>
      </c>
      <c r="S57" s="10" t="str">
        <f>IF(AND(I57="Y",N57="",COUNTIF(Billing_Data!$H$5:$H$319,M57)=0),"NOT BILLED","")</f>
        <v/>
      </c>
      <c r="T57" s="14">
        <f t="shared" si="5"/>
        <v>0</v>
      </c>
      <c r="U57" s="15">
        <f t="shared" si="6"/>
        <v>624</v>
      </c>
    </row>
    <row r="58" spans="1:21" x14ac:dyDescent="0.25">
      <c r="A58" s="7" t="s">
        <v>102</v>
      </c>
      <c r="B58" s="7" t="s">
        <v>99</v>
      </c>
      <c r="C58" s="8" t="str">
        <f>IFERROR(INDEX(Lists!$B$5:$B$34,MATCH(B58,Lists!$A$5:$A$34,0)),"")</f>
        <v>Riley Easton</v>
      </c>
      <c r="D58" s="8" t="str">
        <f>IFERROR(INDEX(Lists!$C$5:$C$34,MATCH(B58,Lists!$A$5:$A$34,0)),"")</f>
        <v>Project Coordinator</v>
      </c>
      <c r="E58" s="9">
        <v>46283</v>
      </c>
      <c r="F58" s="10" t="str">
        <f t="shared" si="0"/>
        <v>Fri</v>
      </c>
      <c r="G58" s="7" t="s">
        <v>41</v>
      </c>
      <c r="H58" s="8" t="str">
        <f>IFERROR(INDEX(Lists!$F$5:$F$9,MATCH(G58,Lists!$E$5:$E$9,0)),"")</f>
        <v>Alder Energy (fictional)</v>
      </c>
      <c r="I58" s="8" t="str">
        <f>IFERROR(INDEX(Lists!$G$5:$G$9,MATCH(G58,Lists!$E$5:$E$9,0)),"")</f>
        <v>Y</v>
      </c>
      <c r="J58" s="11">
        <v>4</v>
      </c>
      <c r="K58" s="12">
        <v>78</v>
      </c>
      <c r="L58" s="13">
        <f>IF(I58&lt;&gt;"Y","",IFERROR(INDEX(Lists!$L$5:$L$20,MATCH(D58&amp;"|"&amp;G58,Lists!$I$5:$I$20,0)),""))</f>
        <v>78</v>
      </c>
      <c r="M58" s="10" t="str">
        <f t="shared" si="1"/>
        <v>E005|20260918|P101</v>
      </c>
      <c r="N58" s="10" t="str">
        <f>IF(COUNTIFS($M$5:M58,M58)&gt;1,"DUPLICATE","")</f>
        <v/>
      </c>
      <c r="O58" s="10" t="str">
        <f t="shared" si="2"/>
        <v/>
      </c>
      <c r="P58" s="10" t="str">
        <f t="shared" si="3"/>
        <v/>
      </c>
      <c r="Q58" s="10" t="str">
        <f>IF(COUNTIF(Lists!$E$5:$E$9,G58)=0,"PROJECT?","")</f>
        <v/>
      </c>
      <c r="R58" s="10" t="str">
        <f t="shared" si="4"/>
        <v/>
      </c>
      <c r="S58" s="10" t="str">
        <f>IF(AND(I58="Y",N58="",COUNTIF(Billing_Data!$H$5:$H$319,M58)=0),"NOT BILLED","")</f>
        <v/>
      </c>
      <c r="T58" s="14">
        <f t="shared" si="5"/>
        <v>0</v>
      </c>
      <c r="U58" s="15">
        <f t="shared" si="6"/>
        <v>312</v>
      </c>
    </row>
    <row r="59" spans="1:21" x14ac:dyDescent="0.25">
      <c r="A59" s="7" t="s">
        <v>103</v>
      </c>
      <c r="B59" s="7" t="s">
        <v>99</v>
      </c>
      <c r="C59" s="8" t="str">
        <f>IFERROR(INDEX(Lists!$B$5:$B$34,MATCH(B59,Lists!$A$5:$A$34,0)),"")</f>
        <v>Riley Easton</v>
      </c>
      <c r="D59" s="8" t="str">
        <f>IFERROR(INDEX(Lists!$C$5:$C$34,MATCH(B59,Lists!$A$5:$A$34,0)),"")</f>
        <v>Project Coordinator</v>
      </c>
      <c r="E59" s="9">
        <v>46283</v>
      </c>
      <c r="F59" s="10" t="str">
        <f t="shared" si="0"/>
        <v>Fri</v>
      </c>
      <c r="G59" s="7" t="s">
        <v>53</v>
      </c>
      <c r="H59" s="8" t="str">
        <f>IFERROR(INDEX(Lists!$F$5:$F$9,MATCH(G59,Lists!$E$5:$E$9,0)),"")</f>
        <v>Internal / non-billable</v>
      </c>
      <c r="I59" s="8" t="str">
        <f>IFERROR(INDEX(Lists!$G$5:$G$9,MATCH(G59,Lists!$E$5:$E$9,0)),"")</f>
        <v>N</v>
      </c>
      <c r="J59" s="11">
        <v>4</v>
      </c>
      <c r="K59" s="12">
        <v>0</v>
      </c>
      <c r="L59" s="13" t="str">
        <f>IF(I59&lt;&gt;"Y","",IFERROR(INDEX(Lists!$L$5:$L$20,MATCH(D59&amp;"|"&amp;G59,Lists!$I$5:$I$20,0)),""))</f>
        <v/>
      </c>
      <c r="M59" s="10" t="str">
        <f t="shared" si="1"/>
        <v>E005|20260918|INT-001</v>
      </c>
      <c r="N59" s="10" t="str">
        <f>IF(COUNTIFS($M$5:M59,M59)&gt;1,"DUPLICATE","")</f>
        <v/>
      </c>
      <c r="O59" s="10" t="str">
        <f t="shared" si="2"/>
        <v/>
      </c>
      <c r="P59" s="10" t="str">
        <f t="shared" si="3"/>
        <v/>
      </c>
      <c r="Q59" s="10" t="str">
        <f>IF(COUNTIF(Lists!$E$5:$E$9,G59)=0,"PROJECT?","")</f>
        <v/>
      </c>
      <c r="R59" s="10" t="str">
        <f t="shared" si="4"/>
        <v/>
      </c>
      <c r="S59" s="10" t="str">
        <f>IF(AND(I59="Y",N59="",COUNTIF(Billing_Data!$H$5:$H$319,M59)=0),"NOT BILLED","")</f>
        <v/>
      </c>
      <c r="T59" s="14">
        <f t="shared" si="5"/>
        <v>0</v>
      </c>
      <c r="U59" s="15">
        <f t="shared" si="6"/>
        <v>0</v>
      </c>
    </row>
    <row r="60" spans="1:21" x14ac:dyDescent="0.25">
      <c r="A60" s="7" t="s">
        <v>104</v>
      </c>
      <c r="B60" s="7" t="s">
        <v>99</v>
      </c>
      <c r="C60" s="8" t="str">
        <f>IFERROR(INDEX(Lists!$B$5:$B$34,MATCH(B60,Lists!$A$5:$A$34,0)),"")</f>
        <v>Riley Easton</v>
      </c>
      <c r="D60" s="8" t="str">
        <f>IFERROR(INDEX(Lists!$C$5:$C$34,MATCH(B60,Lists!$A$5:$A$34,0)),"")</f>
        <v>Project Coordinator</v>
      </c>
      <c r="E60" s="9">
        <v>46286</v>
      </c>
      <c r="F60" s="10" t="str">
        <f t="shared" si="0"/>
        <v>Mon</v>
      </c>
      <c r="G60" s="7" t="s">
        <v>41</v>
      </c>
      <c r="H60" s="8" t="str">
        <f>IFERROR(INDEX(Lists!$F$5:$F$9,MATCH(G60,Lists!$E$5:$E$9,0)),"")</f>
        <v>Alder Energy (fictional)</v>
      </c>
      <c r="I60" s="8" t="str">
        <f>IFERROR(INDEX(Lists!$G$5:$G$9,MATCH(G60,Lists!$E$5:$E$9,0)),"")</f>
        <v>Y</v>
      </c>
      <c r="J60" s="11">
        <v>8</v>
      </c>
      <c r="K60" s="12">
        <v>78</v>
      </c>
      <c r="L60" s="13">
        <f>IF(I60&lt;&gt;"Y","",IFERROR(INDEX(Lists!$L$5:$L$20,MATCH(D60&amp;"|"&amp;G60,Lists!$I$5:$I$20,0)),""))</f>
        <v>78</v>
      </c>
      <c r="M60" s="10" t="str">
        <f t="shared" si="1"/>
        <v>E005|20260921|P101</v>
      </c>
      <c r="N60" s="10" t="str">
        <f>IF(COUNTIFS($M$5:M60,M60)&gt;1,"DUPLICATE","")</f>
        <v/>
      </c>
      <c r="O60" s="10" t="str">
        <f t="shared" si="2"/>
        <v/>
      </c>
      <c r="P60" s="10" t="str">
        <f t="shared" si="3"/>
        <v/>
      </c>
      <c r="Q60" s="10" t="str">
        <f>IF(COUNTIF(Lists!$E$5:$E$9,G60)=0,"PROJECT?","")</f>
        <v/>
      </c>
      <c r="R60" s="10" t="str">
        <f t="shared" si="4"/>
        <v/>
      </c>
      <c r="S60" s="10" t="str">
        <f>IF(AND(I60="Y",N60="",COUNTIF(Billing_Data!$H$5:$H$319,M60)=0),"NOT BILLED","")</f>
        <v/>
      </c>
      <c r="T60" s="14">
        <f t="shared" si="5"/>
        <v>0</v>
      </c>
      <c r="U60" s="15">
        <f t="shared" si="6"/>
        <v>624</v>
      </c>
    </row>
    <row r="61" spans="1:21" x14ac:dyDescent="0.25">
      <c r="A61" s="7" t="s">
        <v>105</v>
      </c>
      <c r="B61" s="7" t="s">
        <v>99</v>
      </c>
      <c r="C61" s="8" t="str">
        <f>IFERROR(INDEX(Lists!$B$5:$B$34,MATCH(B61,Lists!$A$5:$A$34,0)),"")</f>
        <v>Riley Easton</v>
      </c>
      <c r="D61" s="8" t="str">
        <f>IFERROR(INDEX(Lists!$C$5:$C$34,MATCH(B61,Lists!$A$5:$A$34,0)),"")</f>
        <v>Project Coordinator</v>
      </c>
      <c r="E61" s="9">
        <v>46287</v>
      </c>
      <c r="F61" s="10" t="str">
        <f t="shared" si="0"/>
        <v>Tue</v>
      </c>
      <c r="G61" s="7" t="s">
        <v>41</v>
      </c>
      <c r="H61" s="8" t="str">
        <f>IFERROR(INDEX(Lists!$F$5:$F$9,MATCH(G61,Lists!$E$5:$E$9,0)),"")</f>
        <v>Alder Energy (fictional)</v>
      </c>
      <c r="I61" s="8" t="str">
        <f>IFERROR(INDEX(Lists!$G$5:$G$9,MATCH(G61,Lists!$E$5:$E$9,0)),"")</f>
        <v>Y</v>
      </c>
      <c r="J61" s="11">
        <v>8</v>
      </c>
      <c r="K61" s="12">
        <v>78</v>
      </c>
      <c r="L61" s="13">
        <f>IF(I61&lt;&gt;"Y","",IFERROR(INDEX(Lists!$L$5:$L$20,MATCH(D61&amp;"|"&amp;G61,Lists!$I$5:$I$20,0)),""))</f>
        <v>78</v>
      </c>
      <c r="M61" s="10" t="str">
        <f t="shared" si="1"/>
        <v>E005|20260922|P101</v>
      </c>
      <c r="N61" s="10" t="str">
        <f>IF(COUNTIFS($M$5:M61,M61)&gt;1,"DUPLICATE","")</f>
        <v/>
      </c>
      <c r="O61" s="10" t="str">
        <f t="shared" si="2"/>
        <v/>
      </c>
      <c r="P61" s="10" t="str">
        <f t="shared" si="3"/>
        <v/>
      </c>
      <c r="Q61" s="10" t="str">
        <f>IF(COUNTIF(Lists!$E$5:$E$9,G61)=0,"PROJECT?","")</f>
        <v/>
      </c>
      <c r="R61" s="10" t="str">
        <f t="shared" si="4"/>
        <v/>
      </c>
      <c r="S61" s="10" t="str">
        <f>IF(AND(I61="Y",N61="",COUNTIF(Billing_Data!$H$5:$H$319,M61)=0),"NOT BILLED","")</f>
        <v/>
      </c>
      <c r="T61" s="14">
        <f t="shared" si="5"/>
        <v>0</v>
      </c>
      <c r="U61" s="15">
        <f t="shared" si="6"/>
        <v>624</v>
      </c>
    </row>
    <row r="62" spans="1:21" x14ac:dyDescent="0.25">
      <c r="A62" s="7" t="s">
        <v>106</v>
      </c>
      <c r="B62" s="7" t="s">
        <v>99</v>
      </c>
      <c r="C62" s="8" t="str">
        <f>IFERROR(INDEX(Lists!$B$5:$B$34,MATCH(B62,Lists!$A$5:$A$34,0)),"")</f>
        <v>Riley Easton</v>
      </c>
      <c r="D62" s="8" t="str">
        <f>IFERROR(INDEX(Lists!$C$5:$C$34,MATCH(B62,Lists!$A$5:$A$34,0)),"")</f>
        <v>Project Coordinator</v>
      </c>
      <c r="E62" s="9">
        <v>46288</v>
      </c>
      <c r="F62" s="10" t="str">
        <f t="shared" si="0"/>
        <v>Wed</v>
      </c>
      <c r="G62" s="7" t="s">
        <v>41</v>
      </c>
      <c r="H62" s="8" t="str">
        <f>IFERROR(INDEX(Lists!$F$5:$F$9,MATCH(G62,Lists!$E$5:$E$9,0)),"")</f>
        <v>Alder Energy (fictional)</v>
      </c>
      <c r="I62" s="8" t="str">
        <f>IFERROR(INDEX(Lists!$G$5:$G$9,MATCH(G62,Lists!$E$5:$E$9,0)),"")</f>
        <v>Y</v>
      </c>
      <c r="J62" s="11">
        <v>8</v>
      </c>
      <c r="K62" s="12">
        <v>78</v>
      </c>
      <c r="L62" s="13">
        <f>IF(I62&lt;&gt;"Y","",IFERROR(INDEX(Lists!$L$5:$L$20,MATCH(D62&amp;"|"&amp;G62,Lists!$I$5:$I$20,0)),""))</f>
        <v>78</v>
      </c>
      <c r="M62" s="10" t="str">
        <f t="shared" si="1"/>
        <v>E005|20260923|P101</v>
      </c>
      <c r="N62" s="10" t="str">
        <f>IF(COUNTIFS($M$5:M62,M62)&gt;1,"DUPLICATE","")</f>
        <v/>
      </c>
      <c r="O62" s="10" t="str">
        <f t="shared" si="2"/>
        <v/>
      </c>
      <c r="P62" s="10" t="str">
        <f t="shared" si="3"/>
        <v/>
      </c>
      <c r="Q62" s="10" t="str">
        <f>IF(COUNTIF(Lists!$E$5:$E$9,G62)=0,"PROJECT?","")</f>
        <v/>
      </c>
      <c r="R62" s="10" t="str">
        <f t="shared" si="4"/>
        <v/>
      </c>
      <c r="S62" s="10" t="str">
        <f>IF(AND(I62="Y",N62="",COUNTIF(Billing_Data!$H$5:$H$319,M62)=0),"NOT BILLED","")</f>
        <v/>
      </c>
      <c r="T62" s="14">
        <f t="shared" si="5"/>
        <v>0</v>
      </c>
      <c r="U62" s="15">
        <f t="shared" si="6"/>
        <v>624</v>
      </c>
    </row>
    <row r="63" spans="1:21" x14ac:dyDescent="0.25">
      <c r="A63" s="7" t="s">
        <v>107</v>
      </c>
      <c r="B63" s="7" t="s">
        <v>99</v>
      </c>
      <c r="C63" s="8" t="str">
        <f>IFERROR(INDEX(Lists!$B$5:$B$34,MATCH(B63,Lists!$A$5:$A$34,0)),"")</f>
        <v>Riley Easton</v>
      </c>
      <c r="D63" s="8" t="str">
        <f>IFERROR(INDEX(Lists!$C$5:$C$34,MATCH(B63,Lists!$A$5:$A$34,0)),"")</f>
        <v>Project Coordinator</v>
      </c>
      <c r="E63" s="9">
        <v>46289</v>
      </c>
      <c r="F63" s="10" t="str">
        <f t="shared" si="0"/>
        <v>Thu</v>
      </c>
      <c r="G63" s="7" t="s">
        <v>41</v>
      </c>
      <c r="H63" s="8" t="str">
        <f>IFERROR(INDEX(Lists!$F$5:$F$9,MATCH(G63,Lists!$E$5:$E$9,0)),"")</f>
        <v>Alder Energy (fictional)</v>
      </c>
      <c r="I63" s="8" t="str">
        <f>IFERROR(INDEX(Lists!$G$5:$G$9,MATCH(G63,Lists!$E$5:$E$9,0)),"")</f>
        <v>Y</v>
      </c>
      <c r="J63" s="11">
        <v>8</v>
      </c>
      <c r="K63" s="12">
        <v>78</v>
      </c>
      <c r="L63" s="13">
        <f>IF(I63&lt;&gt;"Y","",IFERROR(INDEX(Lists!$L$5:$L$20,MATCH(D63&amp;"|"&amp;G63,Lists!$I$5:$I$20,0)),""))</f>
        <v>78</v>
      </c>
      <c r="M63" s="10" t="str">
        <f t="shared" si="1"/>
        <v>E005|20260924|P101</v>
      </c>
      <c r="N63" s="10" t="str">
        <f>IF(COUNTIFS($M$5:M63,M63)&gt;1,"DUPLICATE","")</f>
        <v/>
      </c>
      <c r="O63" s="10" t="str">
        <f t="shared" si="2"/>
        <v/>
      </c>
      <c r="P63" s="10" t="str">
        <f t="shared" si="3"/>
        <v/>
      </c>
      <c r="Q63" s="10" t="str">
        <f>IF(COUNTIF(Lists!$E$5:$E$9,G63)=0,"PROJECT?","")</f>
        <v/>
      </c>
      <c r="R63" s="10" t="str">
        <f t="shared" si="4"/>
        <v/>
      </c>
      <c r="S63" s="10" t="str">
        <f>IF(AND(I63="Y",N63="",COUNTIF(Billing_Data!$H$5:$H$319,M63)=0),"NOT BILLED","")</f>
        <v/>
      </c>
      <c r="T63" s="14">
        <f t="shared" si="5"/>
        <v>0</v>
      </c>
      <c r="U63" s="15">
        <f t="shared" si="6"/>
        <v>624</v>
      </c>
    </row>
    <row r="64" spans="1:21" x14ac:dyDescent="0.25">
      <c r="A64" s="7" t="s">
        <v>108</v>
      </c>
      <c r="B64" s="7" t="s">
        <v>99</v>
      </c>
      <c r="C64" s="8" t="str">
        <f>IFERROR(INDEX(Lists!$B$5:$B$34,MATCH(B64,Lists!$A$5:$A$34,0)),"")</f>
        <v>Riley Easton</v>
      </c>
      <c r="D64" s="8" t="str">
        <f>IFERROR(INDEX(Lists!$C$5:$C$34,MATCH(B64,Lists!$A$5:$A$34,0)),"")</f>
        <v>Project Coordinator</v>
      </c>
      <c r="E64" s="9">
        <v>46290</v>
      </c>
      <c r="F64" s="10" t="str">
        <f t="shared" si="0"/>
        <v>Fri</v>
      </c>
      <c r="G64" s="7" t="s">
        <v>41</v>
      </c>
      <c r="H64" s="8" t="str">
        <f>IFERROR(INDEX(Lists!$F$5:$F$9,MATCH(G64,Lists!$E$5:$E$9,0)),"")</f>
        <v>Alder Energy (fictional)</v>
      </c>
      <c r="I64" s="8" t="str">
        <f>IFERROR(INDEX(Lists!$G$5:$G$9,MATCH(G64,Lists!$E$5:$E$9,0)),"")</f>
        <v>Y</v>
      </c>
      <c r="J64" s="11">
        <v>8</v>
      </c>
      <c r="K64" s="12">
        <v>78</v>
      </c>
      <c r="L64" s="13">
        <f>IF(I64&lt;&gt;"Y","",IFERROR(INDEX(Lists!$L$5:$L$20,MATCH(D64&amp;"|"&amp;G64,Lists!$I$5:$I$20,0)),""))</f>
        <v>78</v>
      </c>
      <c r="M64" s="10" t="str">
        <f t="shared" si="1"/>
        <v>E005|20260925|P101</v>
      </c>
      <c r="N64" s="10" t="str">
        <f>IF(COUNTIFS($M$5:M64,M64)&gt;1,"DUPLICATE","")</f>
        <v/>
      </c>
      <c r="O64" s="10" t="str">
        <f t="shared" si="2"/>
        <v/>
      </c>
      <c r="P64" s="10" t="str">
        <f t="shared" si="3"/>
        <v/>
      </c>
      <c r="Q64" s="10" t="str">
        <f>IF(COUNTIF(Lists!$E$5:$E$9,G64)=0,"PROJECT?","")</f>
        <v/>
      </c>
      <c r="R64" s="10" t="str">
        <f t="shared" si="4"/>
        <v/>
      </c>
      <c r="S64" s="10" t="str">
        <f>IF(AND(I64="Y",N64="",COUNTIF(Billing_Data!$H$5:$H$319,M64)=0),"NOT BILLED","")</f>
        <v/>
      </c>
      <c r="T64" s="14">
        <f t="shared" si="5"/>
        <v>0</v>
      </c>
      <c r="U64" s="15">
        <f t="shared" si="6"/>
        <v>624</v>
      </c>
    </row>
    <row r="65" spans="1:21" x14ac:dyDescent="0.25">
      <c r="A65" s="7" t="s">
        <v>109</v>
      </c>
      <c r="B65" s="7" t="s">
        <v>110</v>
      </c>
      <c r="C65" s="8" t="str">
        <f>IFERROR(INDEX(Lists!$B$5:$B$34,MATCH(B65,Lists!$A$5:$A$34,0)),"")</f>
        <v>Casey Fenwick</v>
      </c>
      <c r="D65" s="8" t="str">
        <f>IFERROR(INDEX(Lists!$C$5:$C$34,MATCH(B65,Lists!$A$5:$A$34,0)),"")</f>
        <v>Project Coordinator</v>
      </c>
      <c r="E65" s="9">
        <v>46279</v>
      </c>
      <c r="F65" s="10" t="str">
        <f t="shared" si="0"/>
        <v>Mon</v>
      </c>
      <c r="G65" s="7" t="s">
        <v>46</v>
      </c>
      <c r="H65" s="8" t="str">
        <f>IFERROR(INDEX(Lists!$F$5:$F$9,MATCH(G65,Lists!$E$5:$E$9,0)),"")</f>
        <v>Birchwood Midstream (fictional)</v>
      </c>
      <c r="I65" s="8" t="str">
        <f>IFERROR(INDEX(Lists!$G$5:$G$9,MATCH(G65,Lists!$E$5:$E$9,0)),"")</f>
        <v>Y</v>
      </c>
      <c r="J65" s="11">
        <v>4</v>
      </c>
      <c r="K65" s="12">
        <v>82</v>
      </c>
      <c r="L65" s="13">
        <f>IF(I65&lt;&gt;"Y","",IFERROR(INDEX(Lists!$L$5:$L$20,MATCH(D65&amp;"|"&amp;G65,Lists!$I$5:$I$20,0)),""))</f>
        <v>82</v>
      </c>
      <c r="M65" s="10" t="str">
        <f t="shared" si="1"/>
        <v>E006|20260914|P102</v>
      </c>
      <c r="N65" s="10" t="str">
        <f>IF(COUNTIFS($M$5:M65,M65)&gt;1,"DUPLICATE","")</f>
        <v/>
      </c>
      <c r="O65" s="10" t="str">
        <f t="shared" si="2"/>
        <v/>
      </c>
      <c r="P65" s="10" t="str">
        <f t="shared" si="3"/>
        <v/>
      </c>
      <c r="Q65" s="10" t="str">
        <f>IF(COUNTIF(Lists!$E$5:$E$9,G65)=0,"PROJECT?","")</f>
        <v/>
      </c>
      <c r="R65" s="10" t="str">
        <f t="shared" si="4"/>
        <v/>
      </c>
      <c r="S65" s="10" t="str">
        <f>IF(AND(I65="Y",N65="",COUNTIF(Billing_Data!$H$5:$H$319,M65)=0),"NOT BILLED","")</f>
        <v/>
      </c>
      <c r="T65" s="14">
        <f t="shared" si="5"/>
        <v>0</v>
      </c>
      <c r="U65" s="15">
        <f t="shared" si="6"/>
        <v>328</v>
      </c>
    </row>
    <row r="66" spans="1:21" x14ac:dyDescent="0.25">
      <c r="A66" s="7" t="s">
        <v>111</v>
      </c>
      <c r="B66" s="7" t="s">
        <v>110</v>
      </c>
      <c r="C66" s="8" t="str">
        <f>IFERROR(INDEX(Lists!$B$5:$B$34,MATCH(B66,Lists!$A$5:$A$34,0)),"")</f>
        <v>Casey Fenwick</v>
      </c>
      <c r="D66" s="8" t="str">
        <f>IFERROR(INDEX(Lists!$C$5:$C$34,MATCH(B66,Lists!$A$5:$A$34,0)),"")</f>
        <v>Project Coordinator</v>
      </c>
      <c r="E66" s="9">
        <v>46279</v>
      </c>
      <c r="F66" s="10" t="str">
        <f t="shared" si="0"/>
        <v>Mon</v>
      </c>
      <c r="G66" s="7" t="s">
        <v>74</v>
      </c>
      <c r="H66" s="8" t="str">
        <f>IFERROR(INDEX(Lists!$F$5:$F$9,MATCH(G66,Lists!$E$5:$E$9,0)),"")</f>
        <v>Delta Environmental (fictional)</v>
      </c>
      <c r="I66" s="8" t="str">
        <f>IFERROR(INDEX(Lists!$G$5:$G$9,MATCH(G66,Lists!$E$5:$E$9,0)),"")</f>
        <v>Y</v>
      </c>
      <c r="J66" s="11">
        <v>4</v>
      </c>
      <c r="K66" s="12">
        <v>86</v>
      </c>
      <c r="L66" s="13">
        <f>IF(I66&lt;&gt;"Y","",IFERROR(INDEX(Lists!$L$5:$L$20,MATCH(D66&amp;"|"&amp;G66,Lists!$I$5:$I$20,0)),""))</f>
        <v>86</v>
      </c>
      <c r="M66" s="10" t="str">
        <f t="shared" si="1"/>
        <v>E006|20260914|P104</v>
      </c>
      <c r="N66" s="10" t="str">
        <f>IF(COUNTIFS($M$5:M66,M66)&gt;1,"DUPLICATE","")</f>
        <v/>
      </c>
      <c r="O66" s="10" t="str">
        <f t="shared" si="2"/>
        <v/>
      </c>
      <c r="P66" s="10" t="str">
        <f t="shared" si="3"/>
        <v/>
      </c>
      <c r="Q66" s="10" t="str">
        <f>IF(COUNTIF(Lists!$E$5:$E$9,G66)=0,"PROJECT?","")</f>
        <v/>
      </c>
      <c r="R66" s="10" t="str">
        <f t="shared" si="4"/>
        <v/>
      </c>
      <c r="S66" s="10" t="str">
        <f>IF(AND(I66="Y",N66="",COUNTIF(Billing_Data!$H$5:$H$319,M66)=0),"NOT BILLED","")</f>
        <v/>
      </c>
      <c r="T66" s="14">
        <f t="shared" si="5"/>
        <v>0</v>
      </c>
      <c r="U66" s="15">
        <f t="shared" si="6"/>
        <v>344</v>
      </c>
    </row>
    <row r="67" spans="1:21" x14ac:dyDescent="0.25">
      <c r="A67" s="7" t="s">
        <v>112</v>
      </c>
      <c r="B67" s="7" t="s">
        <v>110</v>
      </c>
      <c r="C67" s="8" t="str">
        <f>IFERROR(INDEX(Lists!$B$5:$B$34,MATCH(B67,Lists!$A$5:$A$34,0)),"")</f>
        <v>Casey Fenwick</v>
      </c>
      <c r="D67" s="8" t="str">
        <f>IFERROR(INDEX(Lists!$C$5:$C$34,MATCH(B67,Lists!$A$5:$A$34,0)),"")</f>
        <v>Project Coordinator</v>
      </c>
      <c r="E67" s="9">
        <v>46280</v>
      </c>
      <c r="F67" s="10" t="str">
        <f t="shared" si="0"/>
        <v>Tue</v>
      </c>
      <c r="G67" s="7" t="s">
        <v>46</v>
      </c>
      <c r="H67" s="8" t="str">
        <f>IFERROR(INDEX(Lists!$F$5:$F$9,MATCH(G67,Lists!$E$5:$E$9,0)),"")</f>
        <v>Birchwood Midstream (fictional)</v>
      </c>
      <c r="I67" s="8" t="str">
        <f>IFERROR(INDEX(Lists!$G$5:$G$9,MATCH(G67,Lists!$E$5:$E$9,0)),"")</f>
        <v>Y</v>
      </c>
      <c r="J67" s="11">
        <v>8</v>
      </c>
      <c r="K67" s="12">
        <v>82</v>
      </c>
      <c r="L67" s="13">
        <f>IF(I67&lt;&gt;"Y","",IFERROR(INDEX(Lists!$L$5:$L$20,MATCH(D67&amp;"|"&amp;G67,Lists!$I$5:$I$20,0)),""))</f>
        <v>82</v>
      </c>
      <c r="M67" s="10" t="str">
        <f t="shared" si="1"/>
        <v>E006|20260915|P102</v>
      </c>
      <c r="N67" s="10" t="str">
        <f>IF(COUNTIFS($M$5:M67,M67)&gt;1,"DUPLICATE","")</f>
        <v/>
      </c>
      <c r="O67" s="10" t="str">
        <f t="shared" si="2"/>
        <v/>
      </c>
      <c r="P67" s="10" t="str">
        <f t="shared" si="3"/>
        <v/>
      </c>
      <c r="Q67" s="10" t="str">
        <f>IF(COUNTIF(Lists!$E$5:$E$9,G67)=0,"PROJECT?","")</f>
        <v/>
      </c>
      <c r="R67" s="10" t="str">
        <f t="shared" si="4"/>
        <v/>
      </c>
      <c r="S67" s="10" t="str">
        <f>IF(AND(I67="Y",N67="",COUNTIF(Billing_Data!$H$5:$H$319,M67)=0),"NOT BILLED","")</f>
        <v/>
      </c>
      <c r="T67" s="14">
        <f t="shared" si="5"/>
        <v>0</v>
      </c>
      <c r="U67" s="15">
        <f t="shared" si="6"/>
        <v>656</v>
      </c>
    </row>
    <row r="68" spans="1:21" x14ac:dyDescent="0.25">
      <c r="A68" s="7" t="s">
        <v>113</v>
      </c>
      <c r="B68" s="7" t="s">
        <v>110</v>
      </c>
      <c r="C68" s="8" t="str">
        <f>IFERROR(INDEX(Lists!$B$5:$B$34,MATCH(B68,Lists!$A$5:$A$34,0)),"")</f>
        <v>Casey Fenwick</v>
      </c>
      <c r="D68" s="8" t="str">
        <f>IFERROR(INDEX(Lists!$C$5:$C$34,MATCH(B68,Lists!$A$5:$A$34,0)),"")</f>
        <v>Project Coordinator</v>
      </c>
      <c r="E68" s="9">
        <v>46281</v>
      </c>
      <c r="F68" s="10" t="str">
        <f t="shared" si="0"/>
        <v>Wed</v>
      </c>
      <c r="G68" s="7" t="s">
        <v>46</v>
      </c>
      <c r="H68" s="8" t="str">
        <f>IFERROR(INDEX(Lists!$F$5:$F$9,MATCH(G68,Lists!$E$5:$E$9,0)),"")</f>
        <v>Birchwood Midstream (fictional)</v>
      </c>
      <c r="I68" s="8" t="str">
        <f>IFERROR(INDEX(Lists!$G$5:$G$9,MATCH(G68,Lists!$E$5:$E$9,0)),"")</f>
        <v>Y</v>
      </c>
      <c r="J68" s="11">
        <v>8</v>
      </c>
      <c r="K68" s="12">
        <v>82</v>
      </c>
      <c r="L68" s="13">
        <f>IF(I68&lt;&gt;"Y","",IFERROR(INDEX(Lists!$L$5:$L$20,MATCH(D68&amp;"|"&amp;G68,Lists!$I$5:$I$20,0)),""))</f>
        <v>82</v>
      </c>
      <c r="M68" s="10" t="str">
        <f t="shared" si="1"/>
        <v>E006|20260916|P102</v>
      </c>
      <c r="N68" s="10" t="str">
        <f>IF(COUNTIFS($M$5:M68,M68)&gt;1,"DUPLICATE","")</f>
        <v/>
      </c>
      <c r="O68" s="10" t="str">
        <f t="shared" si="2"/>
        <v/>
      </c>
      <c r="P68" s="10" t="str">
        <f t="shared" si="3"/>
        <v/>
      </c>
      <c r="Q68" s="10" t="str">
        <f>IF(COUNTIF(Lists!$E$5:$E$9,G68)=0,"PROJECT?","")</f>
        <v/>
      </c>
      <c r="R68" s="10" t="str">
        <f t="shared" si="4"/>
        <v/>
      </c>
      <c r="S68" s="10" t="str">
        <f>IF(AND(I68="Y",N68="",COUNTIF(Billing_Data!$H$5:$H$319,M68)=0),"NOT BILLED","")</f>
        <v/>
      </c>
      <c r="T68" s="14">
        <f t="shared" si="5"/>
        <v>0</v>
      </c>
      <c r="U68" s="15">
        <f t="shared" si="6"/>
        <v>656</v>
      </c>
    </row>
    <row r="69" spans="1:21" x14ac:dyDescent="0.25">
      <c r="A69" s="7" t="s">
        <v>114</v>
      </c>
      <c r="B69" s="7" t="s">
        <v>110</v>
      </c>
      <c r="C69" s="8" t="str">
        <f>IFERROR(INDEX(Lists!$B$5:$B$34,MATCH(B69,Lists!$A$5:$A$34,0)),"")</f>
        <v>Casey Fenwick</v>
      </c>
      <c r="D69" s="8" t="str">
        <f>IFERROR(INDEX(Lists!$C$5:$C$34,MATCH(B69,Lists!$A$5:$A$34,0)),"")</f>
        <v>Project Coordinator</v>
      </c>
      <c r="E69" s="9">
        <v>46282</v>
      </c>
      <c r="F69" s="10" t="str">
        <f t="shared" ref="F69:F132" si="7">TEXT(E69,"ddd")</f>
        <v>Thu</v>
      </c>
      <c r="G69" s="7" t="s">
        <v>46</v>
      </c>
      <c r="H69" s="8" t="str">
        <f>IFERROR(INDEX(Lists!$F$5:$F$9,MATCH(G69,Lists!$E$5:$E$9,0)),"")</f>
        <v>Birchwood Midstream (fictional)</v>
      </c>
      <c r="I69" s="8" t="str">
        <f>IFERROR(INDEX(Lists!$G$5:$G$9,MATCH(G69,Lists!$E$5:$E$9,0)),"")</f>
        <v>Y</v>
      </c>
      <c r="J69" s="11">
        <v>8</v>
      </c>
      <c r="K69" s="12">
        <v>82</v>
      </c>
      <c r="L69" s="13">
        <f>IF(I69&lt;&gt;"Y","",IFERROR(INDEX(Lists!$L$5:$L$20,MATCH(D69&amp;"|"&amp;G69,Lists!$I$5:$I$20,0)),""))</f>
        <v>82</v>
      </c>
      <c r="M69" s="10" t="str">
        <f t="shared" ref="M69:M132" si="8">B69&amp;"|"&amp;TEXT(E69,"yyyymmdd")&amp;"|"&amp;G69</f>
        <v>E006|20260917|P102</v>
      </c>
      <c r="N69" s="10" t="str">
        <f>IF(COUNTIFS($M$5:M69,M69)&gt;1,"DUPLICATE","")</f>
        <v/>
      </c>
      <c r="O69" s="10" t="str">
        <f t="shared" ref="O69:O132" si="9">IF(OR(J69&lt;=0,J69&gt;12),"HOURS?","")</f>
        <v/>
      </c>
      <c r="P69" s="10" t="str">
        <f t="shared" ref="P69:P132" si="10">IF(WEEKDAY(E69,2)&gt;5,"WEEKEND","")</f>
        <v/>
      </c>
      <c r="Q69" s="10" t="str">
        <f>IF(COUNTIF(Lists!$E$5:$E$9,G69)=0,"PROJECT?","")</f>
        <v/>
      </c>
      <c r="R69" s="10" t="str">
        <f t="shared" ref="R69:R132" si="11">IF(AND(I69="Y",L69&lt;&gt;"",K69&lt;&gt;L69),"RATE","")</f>
        <v/>
      </c>
      <c r="S69" s="10" t="str">
        <f>IF(AND(I69="Y",N69="",COUNTIF(Billing_Data!$H$5:$H$319,M69)=0),"NOT BILLED","")</f>
        <v/>
      </c>
      <c r="T69" s="14">
        <f t="shared" ref="T69:T132" si="12">SUMPRODUCT(--(LEN(N69:S69)&gt;0))</f>
        <v>0</v>
      </c>
      <c r="U69" s="15">
        <f t="shared" ref="U69:U132" si="13">IF(AND(I69="Y",N69="",L69&lt;&gt;""),J69*L69,0)</f>
        <v>656</v>
      </c>
    </row>
    <row r="70" spans="1:21" x14ac:dyDescent="0.25">
      <c r="A70" s="7" t="s">
        <v>115</v>
      </c>
      <c r="B70" s="7" t="s">
        <v>110</v>
      </c>
      <c r="C70" s="8" t="str">
        <f>IFERROR(INDEX(Lists!$B$5:$B$34,MATCH(B70,Lists!$A$5:$A$34,0)),"")</f>
        <v>Casey Fenwick</v>
      </c>
      <c r="D70" s="8" t="str">
        <f>IFERROR(INDEX(Lists!$C$5:$C$34,MATCH(B70,Lists!$A$5:$A$34,0)),"")</f>
        <v>Project Coordinator</v>
      </c>
      <c r="E70" s="9">
        <v>46283</v>
      </c>
      <c r="F70" s="10" t="str">
        <f t="shared" si="7"/>
        <v>Fri</v>
      </c>
      <c r="G70" s="7" t="s">
        <v>46</v>
      </c>
      <c r="H70" s="8" t="str">
        <f>IFERROR(INDEX(Lists!$F$5:$F$9,MATCH(G70,Lists!$E$5:$E$9,0)),"")</f>
        <v>Birchwood Midstream (fictional)</v>
      </c>
      <c r="I70" s="8" t="str">
        <f>IFERROR(INDEX(Lists!$G$5:$G$9,MATCH(G70,Lists!$E$5:$E$9,0)),"")</f>
        <v>Y</v>
      </c>
      <c r="J70" s="11">
        <v>8</v>
      </c>
      <c r="K70" s="12">
        <v>82</v>
      </c>
      <c r="L70" s="13">
        <f>IF(I70&lt;&gt;"Y","",IFERROR(INDEX(Lists!$L$5:$L$20,MATCH(D70&amp;"|"&amp;G70,Lists!$I$5:$I$20,0)),""))</f>
        <v>82</v>
      </c>
      <c r="M70" s="10" t="str">
        <f t="shared" si="8"/>
        <v>E006|20260918|P102</v>
      </c>
      <c r="N70" s="10" t="str">
        <f>IF(COUNTIFS($M$5:M70,M70)&gt;1,"DUPLICATE","")</f>
        <v/>
      </c>
      <c r="O70" s="10" t="str">
        <f t="shared" si="9"/>
        <v/>
      </c>
      <c r="P70" s="10" t="str">
        <f t="shared" si="10"/>
        <v/>
      </c>
      <c r="Q70" s="10" t="str">
        <f>IF(COUNTIF(Lists!$E$5:$E$9,G70)=0,"PROJECT?","")</f>
        <v/>
      </c>
      <c r="R70" s="10" t="str">
        <f t="shared" si="11"/>
        <v/>
      </c>
      <c r="S70" s="10" t="str">
        <f>IF(AND(I70="Y",N70="",COUNTIF(Billing_Data!$H$5:$H$319,M70)=0),"NOT BILLED","")</f>
        <v/>
      </c>
      <c r="T70" s="14">
        <f t="shared" si="12"/>
        <v>0</v>
      </c>
      <c r="U70" s="15">
        <f t="shared" si="13"/>
        <v>656</v>
      </c>
    </row>
    <row r="71" spans="1:21" x14ac:dyDescent="0.25">
      <c r="A71" s="7" t="s">
        <v>116</v>
      </c>
      <c r="B71" s="7" t="s">
        <v>110</v>
      </c>
      <c r="C71" s="8" t="str">
        <f>IFERROR(INDEX(Lists!$B$5:$B$34,MATCH(B71,Lists!$A$5:$A$34,0)),"")</f>
        <v>Casey Fenwick</v>
      </c>
      <c r="D71" s="8" t="str">
        <f>IFERROR(INDEX(Lists!$C$5:$C$34,MATCH(B71,Lists!$A$5:$A$34,0)),"")</f>
        <v>Project Coordinator</v>
      </c>
      <c r="E71" s="9">
        <v>46286</v>
      </c>
      <c r="F71" s="10" t="str">
        <f t="shared" si="7"/>
        <v>Mon</v>
      </c>
      <c r="G71" s="7" t="s">
        <v>46</v>
      </c>
      <c r="H71" s="8" t="str">
        <f>IFERROR(INDEX(Lists!$F$5:$F$9,MATCH(G71,Lists!$E$5:$E$9,0)),"")</f>
        <v>Birchwood Midstream (fictional)</v>
      </c>
      <c r="I71" s="8" t="str">
        <f>IFERROR(INDEX(Lists!$G$5:$G$9,MATCH(G71,Lists!$E$5:$E$9,0)),"")</f>
        <v>Y</v>
      </c>
      <c r="J71" s="11">
        <v>4</v>
      </c>
      <c r="K71" s="12">
        <v>82</v>
      </c>
      <c r="L71" s="13">
        <f>IF(I71&lt;&gt;"Y","",IFERROR(INDEX(Lists!$L$5:$L$20,MATCH(D71&amp;"|"&amp;G71,Lists!$I$5:$I$20,0)),""))</f>
        <v>82</v>
      </c>
      <c r="M71" s="10" t="str">
        <f t="shared" si="8"/>
        <v>E006|20260921|P102</v>
      </c>
      <c r="N71" s="10" t="str">
        <f>IF(COUNTIFS($M$5:M71,M71)&gt;1,"DUPLICATE","")</f>
        <v/>
      </c>
      <c r="O71" s="10" t="str">
        <f t="shared" si="9"/>
        <v/>
      </c>
      <c r="P71" s="10" t="str">
        <f t="shared" si="10"/>
        <v/>
      </c>
      <c r="Q71" s="10" t="str">
        <f>IF(COUNTIF(Lists!$E$5:$E$9,G71)=0,"PROJECT?","")</f>
        <v/>
      </c>
      <c r="R71" s="10" t="str">
        <f t="shared" si="11"/>
        <v/>
      </c>
      <c r="S71" s="10" t="str">
        <f>IF(AND(I71="Y",N71="",COUNTIF(Billing_Data!$H$5:$H$319,M71)=0),"NOT BILLED","")</f>
        <v/>
      </c>
      <c r="T71" s="14">
        <f t="shared" si="12"/>
        <v>0</v>
      </c>
      <c r="U71" s="15">
        <f t="shared" si="13"/>
        <v>328</v>
      </c>
    </row>
    <row r="72" spans="1:21" x14ac:dyDescent="0.25">
      <c r="A72" s="7" t="s">
        <v>117</v>
      </c>
      <c r="B72" s="7" t="s">
        <v>110</v>
      </c>
      <c r="C72" s="8" t="str">
        <f>IFERROR(INDEX(Lists!$B$5:$B$34,MATCH(B72,Lists!$A$5:$A$34,0)),"")</f>
        <v>Casey Fenwick</v>
      </c>
      <c r="D72" s="8" t="str">
        <f>IFERROR(INDEX(Lists!$C$5:$C$34,MATCH(B72,Lists!$A$5:$A$34,0)),"")</f>
        <v>Project Coordinator</v>
      </c>
      <c r="E72" s="9">
        <v>46286</v>
      </c>
      <c r="F72" s="10" t="str">
        <f t="shared" si="7"/>
        <v>Mon</v>
      </c>
      <c r="G72" s="7" t="s">
        <v>41</v>
      </c>
      <c r="H72" s="8" t="str">
        <f>IFERROR(INDEX(Lists!$F$5:$F$9,MATCH(G72,Lists!$E$5:$E$9,0)),"")</f>
        <v>Alder Energy (fictional)</v>
      </c>
      <c r="I72" s="8" t="str">
        <f>IFERROR(INDEX(Lists!$G$5:$G$9,MATCH(G72,Lists!$E$5:$E$9,0)),"")</f>
        <v>Y</v>
      </c>
      <c r="J72" s="11">
        <v>4</v>
      </c>
      <c r="K72" s="12">
        <v>78</v>
      </c>
      <c r="L72" s="13">
        <f>IF(I72&lt;&gt;"Y","",IFERROR(INDEX(Lists!$L$5:$L$20,MATCH(D72&amp;"|"&amp;G72,Lists!$I$5:$I$20,0)),""))</f>
        <v>78</v>
      </c>
      <c r="M72" s="10" t="str">
        <f t="shared" si="8"/>
        <v>E006|20260921|P101</v>
      </c>
      <c r="N72" s="10" t="str">
        <f>IF(COUNTIFS($M$5:M72,M72)&gt;1,"DUPLICATE","")</f>
        <v/>
      </c>
      <c r="O72" s="10" t="str">
        <f t="shared" si="9"/>
        <v/>
      </c>
      <c r="P72" s="10" t="str">
        <f t="shared" si="10"/>
        <v/>
      </c>
      <c r="Q72" s="10" t="str">
        <f>IF(COUNTIF(Lists!$E$5:$E$9,G72)=0,"PROJECT?","")</f>
        <v/>
      </c>
      <c r="R72" s="10" t="str">
        <f t="shared" si="11"/>
        <v/>
      </c>
      <c r="S72" s="10" t="str">
        <f>IF(AND(I72="Y",N72="",COUNTIF(Billing_Data!$H$5:$H$319,M72)=0),"NOT BILLED","")</f>
        <v/>
      </c>
      <c r="T72" s="14">
        <f t="shared" si="12"/>
        <v>0</v>
      </c>
      <c r="U72" s="15">
        <f t="shared" si="13"/>
        <v>312</v>
      </c>
    </row>
    <row r="73" spans="1:21" x14ac:dyDescent="0.25">
      <c r="A73" s="7" t="s">
        <v>118</v>
      </c>
      <c r="B73" s="7" t="s">
        <v>110</v>
      </c>
      <c r="C73" s="8" t="str">
        <f>IFERROR(INDEX(Lists!$B$5:$B$34,MATCH(B73,Lists!$A$5:$A$34,0)),"")</f>
        <v>Casey Fenwick</v>
      </c>
      <c r="D73" s="8" t="str">
        <f>IFERROR(INDEX(Lists!$C$5:$C$34,MATCH(B73,Lists!$A$5:$A$34,0)),"")</f>
        <v>Project Coordinator</v>
      </c>
      <c r="E73" s="9">
        <v>46287</v>
      </c>
      <c r="F73" s="10" t="str">
        <f t="shared" si="7"/>
        <v>Tue</v>
      </c>
      <c r="G73" s="7" t="s">
        <v>46</v>
      </c>
      <c r="H73" s="8" t="str">
        <f>IFERROR(INDEX(Lists!$F$5:$F$9,MATCH(G73,Lists!$E$5:$E$9,0)),"")</f>
        <v>Birchwood Midstream (fictional)</v>
      </c>
      <c r="I73" s="8" t="str">
        <f>IFERROR(INDEX(Lists!$G$5:$G$9,MATCH(G73,Lists!$E$5:$E$9,0)),"")</f>
        <v>Y</v>
      </c>
      <c r="J73" s="11">
        <v>8</v>
      </c>
      <c r="K73" s="12">
        <v>82</v>
      </c>
      <c r="L73" s="13">
        <f>IF(I73&lt;&gt;"Y","",IFERROR(INDEX(Lists!$L$5:$L$20,MATCH(D73&amp;"|"&amp;G73,Lists!$I$5:$I$20,0)),""))</f>
        <v>82</v>
      </c>
      <c r="M73" s="10" t="str">
        <f t="shared" si="8"/>
        <v>E006|20260922|P102</v>
      </c>
      <c r="N73" s="10" t="str">
        <f>IF(COUNTIFS($M$5:M73,M73)&gt;1,"DUPLICATE","")</f>
        <v/>
      </c>
      <c r="O73" s="10" t="str">
        <f t="shared" si="9"/>
        <v/>
      </c>
      <c r="P73" s="10" t="str">
        <f t="shared" si="10"/>
        <v/>
      </c>
      <c r="Q73" s="10" t="str">
        <f>IF(COUNTIF(Lists!$E$5:$E$9,G73)=0,"PROJECT?","")</f>
        <v/>
      </c>
      <c r="R73" s="10" t="str">
        <f t="shared" si="11"/>
        <v/>
      </c>
      <c r="S73" s="10" t="str">
        <f>IF(AND(I73="Y",N73="",COUNTIF(Billing_Data!$H$5:$H$319,M73)=0),"NOT BILLED","")</f>
        <v/>
      </c>
      <c r="T73" s="14">
        <f t="shared" si="12"/>
        <v>0</v>
      </c>
      <c r="U73" s="15">
        <f t="shared" si="13"/>
        <v>656</v>
      </c>
    </row>
    <row r="74" spans="1:21" x14ac:dyDescent="0.25">
      <c r="A74" s="7" t="s">
        <v>119</v>
      </c>
      <c r="B74" s="7" t="s">
        <v>110</v>
      </c>
      <c r="C74" s="8" t="str">
        <f>IFERROR(INDEX(Lists!$B$5:$B$34,MATCH(B74,Lists!$A$5:$A$34,0)),"")</f>
        <v>Casey Fenwick</v>
      </c>
      <c r="D74" s="8" t="str">
        <f>IFERROR(INDEX(Lists!$C$5:$C$34,MATCH(B74,Lists!$A$5:$A$34,0)),"")</f>
        <v>Project Coordinator</v>
      </c>
      <c r="E74" s="9">
        <v>46288</v>
      </c>
      <c r="F74" s="10" t="str">
        <f t="shared" si="7"/>
        <v>Wed</v>
      </c>
      <c r="G74" s="7" t="s">
        <v>46</v>
      </c>
      <c r="H74" s="8" t="str">
        <f>IFERROR(INDEX(Lists!$F$5:$F$9,MATCH(G74,Lists!$E$5:$E$9,0)),"")</f>
        <v>Birchwood Midstream (fictional)</v>
      </c>
      <c r="I74" s="8" t="str">
        <f>IFERROR(INDEX(Lists!$G$5:$G$9,MATCH(G74,Lists!$E$5:$E$9,0)),"")</f>
        <v>Y</v>
      </c>
      <c r="J74" s="11">
        <v>8</v>
      </c>
      <c r="K74" s="12">
        <v>82</v>
      </c>
      <c r="L74" s="13">
        <f>IF(I74&lt;&gt;"Y","",IFERROR(INDEX(Lists!$L$5:$L$20,MATCH(D74&amp;"|"&amp;G74,Lists!$I$5:$I$20,0)),""))</f>
        <v>82</v>
      </c>
      <c r="M74" s="10" t="str">
        <f t="shared" si="8"/>
        <v>E006|20260923|P102</v>
      </c>
      <c r="N74" s="10" t="str">
        <f>IF(COUNTIFS($M$5:M74,M74)&gt;1,"DUPLICATE","")</f>
        <v/>
      </c>
      <c r="O74" s="10" t="str">
        <f t="shared" si="9"/>
        <v/>
      </c>
      <c r="P74" s="10" t="str">
        <f t="shared" si="10"/>
        <v/>
      </c>
      <c r="Q74" s="10" t="str">
        <f>IF(COUNTIF(Lists!$E$5:$E$9,G74)=0,"PROJECT?","")</f>
        <v/>
      </c>
      <c r="R74" s="10" t="str">
        <f t="shared" si="11"/>
        <v/>
      </c>
      <c r="S74" s="10" t="str">
        <f>IF(AND(I74="Y",N74="",COUNTIF(Billing_Data!$H$5:$H$319,M74)=0),"NOT BILLED","")</f>
        <v/>
      </c>
      <c r="T74" s="14">
        <f t="shared" si="12"/>
        <v>0</v>
      </c>
      <c r="U74" s="15">
        <f t="shared" si="13"/>
        <v>656</v>
      </c>
    </row>
    <row r="75" spans="1:21" x14ac:dyDescent="0.25">
      <c r="A75" s="7" t="s">
        <v>120</v>
      </c>
      <c r="B75" s="7" t="s">
        <v>110</v>
      </c>
      <c r="C75" s="8" t="str">
        <f>IFERROR(INDEX(Lists!$B$5:$B$34,MATCH(B75,Lists!$A$5:$A$34,0)),"")</f>
        <v>Casey Fenwick</v>
      </c>
      <c r="D75" s="8" t="str">
        <f>IFERROR(INDEX(Lists!$C$5:$C$34,MATCH(B75,Lists!$A$5:$A$34,0)),"")</f>
        <v>Project Coordinator</v>
      </c>
      <c r="E75" s="9">
        <v>46289</v>
      </c>
      <c r="F75" s="10" t="str">
        <f t="shared" si="7"/>
        <v>Thu</v>
      </c>
      <c r="G75" s="7" t="s">
        <v>46</v>
      </c>
      <c r="H75" s="8" t="str">
        <f>IFERROR(INDEX(Lists!$F$5:$F$9,MATCH(G75,Lists!$E$5:$E$9,0)),"")</f>
        <v>Birchwood Midstream (fictional)</v>
      </c>
      <c r="I75" s="8" t="str">
        <f>IFERROR(INDEX(Lists!$G$5:$G$9,MATCH(G75,Lists!$E$5:$E$9,0)),"")</f>
        <v>Y</v>
      </c>
      <c r="J75" s="11">
        <v>8</v>
      </c>
      <c r="K75" s="12">
        <v>82</v>
      </c>
      <c r="L75" s="13">
        <f>IF(I75&lt;&gt;"Y","",IFERROR(INDEX(Lists!$L$5:$L$20,MATCH(D75&amp;"|"&amp;G75,Lists!$I$5:$I$20,0)),""))</f>
        <v>82</v>
      </c>
      <c r="M75" s="10" t="str">
        <f t="shared" si="8"/>
        <v>E006|20260924|P102</v>
      </c>
      <c r="N75" s="10" t="str">
        <f>IF(COUNTIFS($M$5:M75,M75)&gt;1,"DUPLICATE","")</f>
        <v/>
      </c>
      <c r="O75" s="10" t="str">
        <f t="shared" si="9"/>
        <v/>
      </c>
      <c r="P75" s="10" t="str">
        <f t="shared" si="10"/>
        <v/>
      </c>
      <c r="Q75" s="10" t="str">
        <f>IF(COUNTIF(Lists!$E$5:$E$9,G75)=0,"PROJECT?","")</f>
        <v/>
      </c>
      <c r="R75" s="10" t="str">
        <f t="shared" si="11"/>
        <v/>
      </c>
      <c r="S75" s="10" t="str">
        <f>IF(AND(I75="Y",N75="",COUNTIF(Billing_Data!$H$5:$H$319,M75)=0),"NOT BILLED","")</f>
        <v/>
      </c>
      <c r="T75" s="14">
        <f t="shared" si="12"/>
        <v>0</v>
      </c>
      <c r="U75" s="15">
        <f t="shared" si="13"/>
        <v>656</v>
      </c>
    </row>
    <row r="76" spans="1:21" x14ac:dyDescent="0.25">
      <c r="A76" s="7" t="s">
        <v>121</v>
      </c>
      <c r="B76" s="7" t="s">
        <v>110</v>
      </c>
      <c r="C76" s="8" t="str">
        <f>IFERROR(INDEX(Lists!$B$5:$B$34,MATCH(B76,Lists!$A$5:$A$34,0)),"")</f>
        <v>Casey Fenwick</v>
      </c>
      <c r="D76" s="8" t="str">
        <f>IFERROR(INDEX(Lists!$C$5:$C$34,MATCH(B76,Lists!$A$5:$A$34,0)),"")</f>
        <v>Project Coordinator</v>
      </c>
      <c r="E76" s="9">
        <v>46290</v>
      </c>
      <c r="F76" s="10" t="str">
        <f t="shared" si="7"/>
        <v>Fri</v>
      </c>
      <c r="G76" s="7" t="s">
        <v>46</v>
      </c>
      <c r="H76" s="8" t="str">
        <f>IFERROR(INDEX(Lists!$F$5:$F$9,MATCH(G76,Lists!$E$5:$E$9,0)),"")</f>
        <v>Birchwood Midstream (fictional)</v>
      </c>
      <c r="I76" s="8" t="str">
        <f>IFERROR(INDEX(Lists!$G$5:$G$9,MATCH(G76,Lists!$E$5:$E$9,0)),"")</f>
        <v>Y</v>
      </c>
      <c r="J76" s="11">
        <v>4</v>
      </c>
      <c r="K76" s="12">
        <v>82</v>
      </c>
      <c r="L76" s="13">
        <f>IF(I76&lt;&gt;"Y","",IFERROR(INDEX(Lists!$L$5:$L$20,MATCH(D76&amp;"|"&amp;G76,Lists!$I$5:$I$20,0)),""))</f>
        <v>82</v>
      </c>
      <c r="M76" s="10" t="str">
        <f t="shared" si="8"/>
        <v>E006|20260925|P102</v>
      </c>
      <c r="N76" s="10" t="str">
        <f>IF(COUNTIFS($M$5:M76,M76)&gt;1,"DUPLICATE","")</f>
        <v/>
      </c>
      <c r="O76" s="10" t="str">
        <f t="shared" si="9"/>
        <v/>
      </c>
      <c r="P76" s="10" t="str">
        <f t="shared" si="10"/>
        <v/>
      </c>
      <c r="Q76" s="10" t="str">
        <f>IF(COUNTIF(Lists!$E$5:$E$9,G76)=0,"PROJECT?","")</f>
        <v/>
      </c>
      <c r="R76" s="10" t="str">
        <f t="shared" si="11"/>
        <v/>
      </c>
      <c r="S76" s="10" t="str">
        <f>IF(AND(I76="Y",N76="",COUNTIF(Billing_Data!$H$5:$H$319,M76)=0),"NOT BILLED","")</f>
        <v/>
      </c>
      <c r="T76" s="14">
        <f t="shared" si="12"/>
        <v>0</v>
      </c>
      <c r="U76" s="15">
        <f t="shared" si="13"/>
        <v>328</v>
      </c>
    </row>
    <row r="77" spans="1:21" x14ac:dyDescent="0.25">
      <c r="A77" s="7" t="s">
        <v>122</v>
      </c>
      <c r="B77" s="7" t="s">
        <v>110</v>
      </c>
      <c r="C77" s="8" t="str">
        <f>IFERROR(INDEX(Lists!$B$5:$B$34,MATCH(B77,Lists!$A$5:$A$34,0)),"")</f>
        <v>Casey Fenwick</v>
      </c>
      <c r="D77" s="8" t="str">
        <f>IFERROR(INDEX(Lists!$C$5:$C$34,MATCH(B77,Lists!$A$5:$A$34,0)),"")</f>
        <v>Project Coordinator</v>
      </c>
      <c r="E77" s="9">
        <v>46290</v>
      </c>
      <c r="F77" s="10" t="str">
        <f t="shared" si="7"/>
        <v>Fri</v>
      </c>
      <c r="G77" s="7" t="s">
        <v>74</v>
      </c>
      <c r="H77" s="8" t="str">
        <f>IFERROR(INDEX(Lists!$F$5:$F$9,MATCH(G77,Lists!$E$5:$E$9,0)),"")</f>
        <v>Delta Environmental (fictional)</v>
      </c>
      <c r="I77" s="8" t="str">
        <f>IFERROR(INDEX(Lists!$G$5:$G$9,MATCH(G77,Lists!$E$5:$E$9,0)),"")</f>
        <v>Y</v>
      </c>
      <c r="J77" s="11">
        <v>4</v>
      </c>
      <c r="K77" s="12">
        <v>86</v>
      </c>
      <c r="L77" s="13">
        <f>IF(I77&lt;&gt;"Y","",IFERROR(INDEX(Lists!$L$5:$L$20,MATCH(D77&amp;"|"&amp;G77,Lists!$I$5:$I$20,0)),""))</f>
        <v>86</v>
      </c>
      <c r="M77" s="10" t="str">
        <f t="shared" si="8"/>
        <v>E006|20260925|P104</v>
      </c>
      <c r="N77" s="10" t="str">
        <f>IF(COUNTIFS($M$5:M77,M77)&gt;1,"DUPLICATE","")</f>
        <v/>
      </c>
      <c r="O77" s="10" t="str">
        <f t="shared" si="9"/>
        <v/>
      </c>
      <c r="P77" s="10" t="str">
        <f t="shared" si="10"/>
        <v/>
      </c>
      <c r="Q77" s="10" t="str">
        <f>IF(COUNTIF(Lists!$E$5:$E$9,G77)=0,"PROJECT?","")</f>
        <v/>
      </c>
      <c r="R77" s="10" t="str">
        <f t="shared" si="11"/>
        <v/>
      </c>
      <c r="S77" s="10" t="str">
        <f>IF(AND(I77="Y",N77="",COUNTIF(Billing_Data!$H$5:$H$319,M77)=0),"NOT BILLED","")</f>
        <v/>
      </c>
      <c r="T77" s="14">
        <f t="shared" si="12"/>
        <v>0</v>
      </c>
      <c r="U77" s="15">
        <f t="shared" si="13"/>
        <v>344</v>
      </c>
    </row>
    <row r="78" spans="1:21" x14ac:dyDescent="0.25">
      <c r="A78" s="7" t="s">
        <v>123</v>
      </c>
      <c r="B78" s="7" t="s">
        <v>124</v>
      </c>
      <c r="C78" s="8" t="str">
        <f>IFERROR(INDEX(Lists!$B$5:$B$34,MATCH(B78,Lists!$A$5:$A$34,0)),"")</f>
        <v>Quinn Garrity</v>
      </c>
      <c r="D78" s="8" t="str">
        <f>IFERROR(INDEX(Lists!$C$5:$C$34,MATCH(B78,Lists!$A$5:$A$34,0)),"")</f>
        <v>Project Coordinator</v>
      </c>
      <c r="E78" s="9">
        <v>46279</v>
      </c>
      <c r="F78" s="10" t="str">
        <f t="shared" si="7"/>
        <v>Mon</v>
      </c>
      <c r="G78" s="7" t="s">
        <v>50</v>
      </c>
      <c r="H78" s="8" t="str">
        <f>IFERROR(INDEX(Lists!$F$5:$F$9,MATCH(G78,Lists!$E$5:$E$9,0)),"")</f>
        <v>Cedar Industrial (fictional)</v>
      </c>
      <c r="I78" s="8" t="str">
        <f>IFERROR(INDEX(Lists!$G$5:$G$9,MATCH(G78,Lists!$E$5:$E$9,0)),"")</f>
        <v>Y</v>
      </c>
      <c r="J78" s="11">
        <v>8</v>
      </c>
      <c r="K78" s="12">
        <v>74</v>
      </c>
      <c r="L78" s="13">
        <f>IF(I78&lt;&gt;"Y","",IFERROR(INDEX(Lists!$L$5:$L$20,MATCH(D78&amp;"|"&amp;G78,Lists!$I$5:$I$20,0)),""))</f>
        <v>74</v>
      </c>
      <c r="M78" s="10" t="str">
        <f t="shared" si="8"/>
        <v>E007|20260914|P103</v>
      </c>
      <c r="N78" s="10" t="str">
        <f>IF(COUNTIFS($M$5:M78,M78)&gt;1,"DUPLICATE","")</f>
        <v/>
      </c>
      <c r="O78" s="10" t="str">
        <f t="shared" si="9"/>
        <v/>
      </c>
      <c r="P78" s="10" t="str">
        <f t="shared" si="10"/>
        <v/>
      </c>
      <c r="Q78" s="10" t="str">
        <f>IF(COUNTIF(Lists!$E$5:$E$9,G78)=0,"PROJECT?","")</f>
        <v/>
      </c>
      <c r="R78" s="10" t="str">
        <f t="shared" si="11"/>
        <v/>
      </c>
      <c r="S78" s="10" t="str">
        <f>IF(AND(I78="Y",N78="",COUNTIF(Billing_Data!$H$5:$H$319,M78)=0),"NOT BILLED","")</f>
        <v/>
      </c>
      <c r="T78" s="14">
        <f t="shared" si="12"/>
        <v>0</v>
      </c>
      <c r="U78" s="15">
        <f t="shared" si="13"/>
        <v>592</v>
      </c>
    </row>
    <row r="79" spans="1:21" x14ac:dyDescent="0.25">
      <c r="A79" s="7" t="s">
        <v>125</v>
      </c>
      <c r="B79" s="7" t="s">
        <v>124</v>
      </c>
      <c r="C79" s="8" t="str">
        <f>IFERROR(INDEX(Lists!$B$5:$B$34,MATCH(B79,Lists!$A$5:$A$34,0)),"")</f>
        <v>Quinn Garrity</v>
      </c>
      <c r="D79" s="8" t="str">
        <f>IFERROR(INDEX(Lists!$C$5:$C$34,MATCH(B79,Lists!$A$5:$A$34,0)),"")</f>
        <v>Project Coordinator</v>
      </c>
      <c r="E79" s="9">
        <v>46280</v>
      </c>
      <c r="F79" s="10" t="str">
        <f t="shared" si="7"/>
        <v>Tue</v>
      </c>
      <c r="G79" s="7" t="s">
        <v>50</v>
      </c>
      <c r="H79" s="8" t="str">
        <f>IFERROR(INDEX(Lists!$F$5:$F$9,MATCH(G79,Lists!$E$5:$E$9,0)),"")</f>
        <v>Cedar Industrial (fictional)</v>
      </c>
      <c r="I79" s="8" t="str">
        <f>IFERROR(INDEX(Lists!$G$5:$G$9,MATCH(G79,Lists!$E$5:$E$9,0)),"")</f>
        <v>Y</v>
      </c>
      <c r="J79" s="11">
        <v>8</v>
      </c>
      <c r="K79" s="12">
        <v>74</v>
      </c>
      <c r="L79" s="13">
        <f>IF(I79&lt;&gt;"Y","",IFERROR(INDEX(Lists!$L$5:$L$20,MATCH(D79&amp;"|"&amp;G79,Lists!$I$5:$I$20,0)),""))</f>
        <v>74</v>
      </c>
      <c r="M79" s="10" t="str">
        <f t="shared" si="8"/>
        <v>E007|20260915|P103</v>
      </c>
      <c r="N79" s="10" t="str">
        <f>IF(COUNTIFS($M$5:M79,M79)&gt;1,"DUPLICATE","")</f>
        <v/>
      </c>
      <c r="O79" s="10" t="str">
        <f t="shared" si="9"/>
        <v/>
      </c>
      <c r="P79" s="10" t="str">
        <f t="shared" si="10"/>
        <v/>
      </c>
      <c r="Q79" s="10" t="str">
        <f>IF(COUNTIF(Lists!$E$5:$E$9,G79)=0,"PROJECT?","")</f>
        <v/>
      </c>
      <c r="R79" s="10" t="str">
        <f t="shared" si="11"/>
        <v/>
      </c>
      <c r="S79" s="10" t="str">
        <f>IF(AND(I79="Y",N79="",COUNTIF(Billing_Data!$H$5:$H$319,M79)=0),"NOT BILLED","")</f>
        <v/>
      </c>
      <c r="T79" s="14">
        <f t="shared" si="12"/>
        <v>0</v>
      </c>
      <c r="U79" s="15">
        <f t="shared" si="13"/>
        <v>592</v>
      </c>
    </row>
    <row r="80" spans="1:21" x14ac:dyDescent="0.25">
      <c r="A80" s="7" t="s">
        <v>126</v>
      </c>
      <c r="B80" s="7" t="s">
        <v>124</v>
      </c>
      <c r="C80" s="8" t="str">
        <f>IFERROR(INDEX(Lists!$B$5:$B$34,MATCH(B80,Lists!$A$5:$A$34,0)),"")</f>
        <v>Quinn Garrity</v>
      </c>
      <c r="D80" s="8" t="str">
        <f>IFERROR(INDEX(Lists!$C$5:$C$34,MATCH(B80,Lists!$A$5:$A$34,0)),"")</f>
        <v>Project Coordinator</v>
      </c>
      <c r="E80" s="9">
        <v>46281</v>
      </c>
      <c r="F80" s="10" t="str">
        <f t="shared" si="7"/>
        <v>Wed</v>
      </c>
      <c r="G80" s="7" t="s">
        <v>50</v>
      </c>
      <c r="H80" s="8" t="str">
        <f>IFERROR(INDEX(Lists!$F$5:$F$9,MATCH(G80,Lists!$E$5:$E$9,0)),"")</f>
        <v>Cedar Industrial (fictional)</v>
      </c>
      <c r="I80" s="8" t="str">
        <f>IFERROR(INDEX(Lists!$G$5:$G$9,MATCH(G80,Lists!$E$5:$E$9,0)),"")</f>
        <v>Y</v>
      </c>
      <c r="J80" s="11">
        <v>8</v>
      </c>
      <c r="K80" s="12">
        <v>74</v>
      </c>
      <c r="L80" s="13">
        <f>IF(I80&lt;&gt;"Y","",IFERROR(INDEX(Lists!$L$5:$L$20,MATCH(D80&amp;"|"&amp;G80,Lists!$I$5:$I$20,0)),""))</f>
        <v>74</v>
      </c>
      <c r="M80" s="10" t="str">
        <f t="shared" si="8"/>
        <v>E007|20260916|P103</v>
      </c>
      <c r="N80" s="10" t="str">
        <f>IF(COUNTIFS($M$5:M80,M80)&gt;1,"DUPLICATE","")</f>
        <v/>
      </c>
      <c r="O80" s="10" t="str">
        <f t="shared" si="9"/>
        <v/>
      </c>
      <c r="P80" s="10" t="str">
        <f t="shared" si="10"/>
        <v/>
      </c>
      <c r="Q80" s="10" t="str">
        <f>IF(COUNTIF(Lists!$E$5:$E$9,G80)=0,"PROJECT?","")</f>
        <v/>
      </c>
      <c r="R80" s="10" t="str">
        <f t="shared" si="11"/>
        <v/>
      </c>
      <c r="S80" s="10" t="str">
        <f>IF(AND(I80="Y",N80="",COUNTIF(Billing_Data!$H$5:$H$319,M80)=0),"NOT BILLED","")</f>
        <v/>
      </c>
      <c r="T80" s="14">
        <f t="shared" si="12"/>
        <v>0</v>
      </c>
      <c r="U80" s="15">
        <f t="shared" si="13"/>
        <v>592</v>
      </c>
    </row>
    <row r="81" spans="1:21" x14ac:dyDescent="0.25">
      <c r="A81" s="7" t="s">
        <v>127</v>
      </c>
      <c r="B81" s="7" t="s">
        <v>124</v>
      </c>
      <c r="C81" s="8" t="str">
        <f>IFERROR(INDEX(Lists!$B$5:$B$34,MATCH(B81,Lists!$A$5:$A$34,0)),"")</f>
        <v>Quinn Garrity</v>
      </c>
      <c r="D81" s="8" t="str">
        <f>IFERROR(INDEX(Lists!$C$5:$C$34,MATCH(B81,Lists!$A$5:$A$34,0)),"")</f>
        <v>Project Coordinator</v>
      </c>
      <c r="E81" s="9">
        <v>46282</v>
      </c>
      <c r="F81" s="10" t="str">
        <f t="shared" si="7"/>
        <v>Thu</v>
      </c>
      <c r="G81" s="7" t="s">
        <v>50</v>
      </c>
      <c r="H81" s="8" t="str">
        <f>IFERROR(INDEX(Lists!$F$5:$F$9,MATCH(G81,Lists!$E$5:$E$9,0)),"")</f>
        <v>Cedar Industrial (fictional)</v>
      </c>
      <c r="I81" s="8" t="str">
        <f>IFERROR(INDEX(Lists!$G$5:$G$9,MATCH(G81,Lists!$E$5:$E$9,0)),"")</f>
        <v>Y</v>
      </c>
      <c r="J81" s="11">
        <v>80</v>
      </c>
      <c r="K81" s="12">
        <v>74</v>
      </c>
      <c r="L81" s="13">
        <f>IF(I81&lt;&gt;"Y","",IFERROR(INDEX(Lists!$L$5:$L$20,MATCH(D81&amp;"|"&amp;G81,Lists!$I$5:$I$20,0)),""))</f>
        <v>74</v>
      </c>
      <c r="M81" s="10" t="str">
        <f t="shared" si="8"/>
        <v>E007|20260917|P103</v>
      </c>
      <c r="N81" s="10" t="str">
        <f>IF(COUNTIFS($M$5:M81,M81)&gt;1,"DUPLICATE","")</f>
        <v/>
      </c>
      <c r="O81" s="10" t="str">
        <f t="shared" si="9"/>
        <v>HOURS?</v>
      </c>
      <c r="P81" s="10" t="str">
        <f t="shared" si="10"/>
        <v/>
      </c>
      <c r="Q81" s="10" t="str">
        <f>IF(COUNTIF(Lists!$E$5:$E$9,G81)=0,"PROJECT?","")</f>
        <v/>
      </c>
      <c r="R81" s="10" t="str">
        <f t="shared" si="11"/>
        <v/>
      </c>
      <c r="S81" s="10" t="str">
        <f>IF(AND(I81="Y",N81="",COUNTIF(Billing_Data!$H$5:$H$319,M81)=0),"NOT BILLED","")</f>
        <v/>
      </c>
      <c r="T81" s="14">
        <f t="shared" si="12"/>
        <v>1</v>
      </c>
      <c r="U81" s="15">
        <f t="shared" si="13"/>
        <v>5920</v>
      </c>
    </row>
    <row r="82" spans="1:21" x14ac:dyDescent="0.25">
      <c r="A82" s="7" t="s">
        <v>128</v>
      </c>
      <c r="B82" s="7" t="s">
        <v>124</v>
      </c>
      <c r="C82" s="8" t="str">
        <f>IFERROR(INDEX(Lists!$B$5:$B$34,MATCH(B82,Lists!$A$5:$A$34,0)),"")</f>
        <v>Quinn Garrity</v>
      </c>
      <c r="D82" s="8" t="str">
        <f>IFERROR(INDEX(Lists!$C$5:$C$34,MATCH(B82,Lists!$A$5:$A$34,0)),"")</f>
        <v>Project Coordinator</v>
      </c>
      <c r="E82" s="9">
        <v>46283</v>
      </c>
      <c r="F82" s="10" t="str">
        <f t="shared" si="7"/>
        <v>Fri</v>
      </c>
      <c r="G82" s="7" t="s">
        <v>50</v>
      </c>
      <c r="H82" s="8" t="str">
        <f>IFERROR(INDEX(Lists!$F$5:$F$9,MATCH(G82,Lists!$E$5:$E$9,0)),"")</f>
        <v>Cedar Industrial (fictional)</v>
      </c>
      <c r="I82" s="8" t="str">
        <f>IFERROR(INDEX(Lists!$G$5:$G$9,MATCH(G82,Lists!$E$5:$E$9,0)),"")</f>
        <v>Y</v>
      </c>
      <c r="J82" s="11">
        <v>8</v>
      </c>
      <c r="K82" s="12">
        <v>74</v>
      </c>
      <c r="L82" s="13">
        <f>IF(I82&lt;&gt;"Y","",IFERROR(INDEX(Lists!$L$5:$L$20,MATCH(D82&amp;"|"&amp;G82,Lists!$I$5:$I$20,0)),""))</f>
        <v>74</v>
      </c>
      <c r="M82" s="10" t="str">
        <f t="shared" si="8"/>
        <v>E007|20260918|P103</v>
      </c>
      <c r="N82" s="10" t="str">
        <f>IF(COUNTIFS($M$5:M82,M82)&gt;1,"DUPLICATE","")</f>
        <v/>
      </c>
      <c r="O82" s="10" t="str">
        <f t="shared" si="9"/>
        <v/>
      </c>
      <c r="P82" s="10" t="str">
        <f t="shared" si="10"/>
        <v/>
      </c>
      <c r="Q82" s="10" t="str">
        <f>IF(COUNTIF(Lists!$E$5:$E$9,G82)=0,"PROJECT?","")</f>
        <v/>
      </c>
      <c r="R82" s="10" t="str">
        <f t="shared" si="11"/>
        <v/>
      </c>
      <c r="S82" s="10" t="str">
        <f>IF(AND(I82="Y",N82="",COUNTIF(Billing_Data!$H$5:$H$319,M82)=0),"NOT BILLED","")</f>
        <v/>
      </c>
      <c r="T82" s="14">
        <f t="shared" si="12"/>
        <v>0</v>
      </c>
      <c r="U82" s="15">
        <f t="shared" si="13"/>
        <v>592</v>
      </c>
    </row>
    <row r="83" spans="1:21" x14ac:dyDescent="0.25">
      <c r="A83" s="7" t="s">
        <v>129</v>
      </c>
      <c r="B83" s="7" t="s">
        <v>124</v>
      </c>
      <c r="C83" s="8" t="str">
        <f>IFERROR(INDEX(Lists!$B$5:$B$34,MATCH(B83,Lists!$A$5:$A$34,0)),"")</f>
        <v>Quinn Garrity</v>
      </c>
      <c r="D83" s="8" t="str">
        <f>IFERROR(INDEX(Lists!$C$5:$C$34,MATCH(B83,Lists!$A$5:$A$34,0)),"")</f>
        <v>Project Coordinator</v>
      </c>
      <c r="E83" s="9">
        <v>46286</v>
      </c>
      <c r="F83" s="10" t="str">
        <f t="shared" si="7"/>
        <v>Mon</v>
      </c>
      <c r="G83" s="7" t="s">
        <v>50</v>
      </c>
      <c r="H83" s="8" t="str">
        <f>IFERROR(INDEX(Lists!$F$5:$F$9,MATCH(G83,Lists!$E$5:$E$9,0)),"")</f>
        <v>Cedar Industrial (fictional)</v>
      </c>
      <c r="I83" s="8" t="str">
        <f>IFERROR(INDEX(Lists!$G$5:$G$9,MATCH(G83,Lists!$E$5:$E$9,0)),"")</f>
        <v>Y</v>
      </c>
      <c r="J83" s="11">
        <v>8</v>
      </c>
      <c r="K83" s="12">
        <v>74</v>
      </c>
      <c r="L83" s="13">
        <f>IF(I83&lt;&gt;"Y","",IFERROR(INDEX(Lists!$L$5:$L$20,MATCH(D83&amp;"|"&amp;G83,Lists!$I$5:$I$20,0)),""))</f>
        <v>74</v>
      </c>
      <c r="M83" s="10" t="str">
        <f t="shared" si="8"/>
        <v>E007|20260921|P103</v>
      </c>
      <c r="N83" s="10" t="str">
        <f>IF(COUNTIFS($M$5:M83,M83)&gt;1,"DUPLICATE","")</f>
        <v/>
      </c>
      <c r="O83" s="10" t="str">
        <f t="shared" si="9"/>
        <v/>
      </c>
      <c r="P83" s="10" t="str">
        <f t="shared" si="10"/>
        <v/>
      </c>
      <c r="Q83" s="10" t="str">
        <f>IF(COUNTIF(Lists!$E$5:$E$9,G83)=0,"PROJECT?","")</f>
        <v/>
      </c>
      <c r="R83" s="10" t="str">
        <f t="shared" si="11"/>
        <v/>
      </c>
      <c r="S83" s="10" t="str">
        <f>IF(AND(I83="Y",N83="",COUNTIF(Billing_Data!$H$5:$H$319,M83)=0),"NOT BILLED","")</f>
        <v>NOT BILLED</v>
      </c>
      <c r="T83" s="14">
        <f t="shared" si="12"/>
        <v>1</v>
      </c>
      <c r="U83" s="15">
        <f t="shared" si="13"/>
        <v>592</v>
      </c>
    </row>
    <row r="84" spans="1:21" x14ac:dyDescent="0.25">
      <c r="A84" s="7" t="s">
        <v>130</v>
      </c>
      <c r="B84" s="7" t="s">
        <v>124</v>
      </c>
      <c r="C84" s="8" t="str">
        <f>IFERROR(INDEX(Lists!$B$5:$B$34,MATCH(B84,Lists!$A$5:$A$34,0)),"")</f>
        <v>Quinn Garrity</v>
      </c>
      <c r="D84" s="8" t="str">
        <f>IFERROR(INDEX(Lists!$C$5:$C$34,MATCH(B84,Lists!$A$5:$A$34,0)),"")</f>
        <v>Project Coordinator</v>
      </c>
      <c r="E84" s="9">
        <v>46287</v>
      </c>
      <c r="F84" s="10" t="str">
        <f t="shared" si="7"/>
        <v>Tue</v>
      </c>
      <c r="G84" s="7" t="s">
        <v>50</v>
      </c>
      <c r="H84" s="8" t="str">
        <f>IFERROR(INDEX(Lists!$F$5:$F$9,MATCH(G84,Lists!$E$5:$E$9,0)),"")</f>
        <v>Cedar Industrial (fictional)</v>
      </c>
      <c r="I84" s="8" t="str">
        <f>IFERROR(INDEX(Lists!$G$5:$G$9,MATCH(G84,Lists!$E$5:$E$9,0)),"")</f>
        <v>Y</v>
      </c>
      <c r="J84" s="11">
        <v>4</v>
      </c>
      <c r="K84" s="12">
        <v>74</v>
      </c>
      <c r="L84" s="13">
        <f>IF(I84&lt;&gt;"Y","",IFERROR(INDEX(Lists!$L$5:$L$20,MATCH(D84&amp;"|"&amp;G84,Lists!$I$5:$I$20,0)),""))</f>
        <v>74</v>
      </c>
      <c r="M84" s="10" t="str">
        <f t="shared" si="8"/>
        <v>E007|20260922|P103</v>
      </c>
      <c r="N84" s="10" t="str">
        <f>IF(COUNTIFS($M$5:M84,M84)&gt;1,"DUPLICATE","")</f>
        <v/>
      </c>
      <c r="O84" s="10" t="str">
        <f t="shared" si="9"/>
        <v/>
      </c>
      <c r="P84" s="10" t="str">
        <f t="shared" si="10"/>
        <v/>
      </c>
      <c r="Q84" s="10" t="str">
        <f>IF(COUNTIF(Lists!$E$5:$E$9,G84)=0,"PROJECT?","")</f>
        <v/>
      </c>
      <c r="R84" s="10" t="str">
        <f t="shared" si="11"/>
        <v/>
      </c>
      <c r="S84" s="10" t="str">
        <f>IF(AND(I84="Y",N84="",COUNTIF(Billing_Data!$H$5:$H$319,M84)=0),"NOT BILLED","")</f>
        <v/>
      </c>
      <c r="T84" s="14">
        <f t="shared" si="12"/>
        <v>0</v>
      </c>
      <c r="U84" s="15">
        <f t="shared" si="13"/>
        <v>296</v>
      </c>
    </row>
    <row r="85" spans="1:21" x14ac:dyDescent="0.25">
      <c r="A85" s="7" t="s">
        <v>131</v>
      </c>
      <c r="B85" s="7" t="s">
        <v>124</v>
      </c>
      <c r="C85" s="8" t="str">
        <f>IFERROR(INDEX(Lists!$B$5:$B$34,MATCH(B85,Lists!$A$5:$A$34,0)),"")</f>
        <v>Quinn Garrity</v>
      </c>
      <c r="D85" s="8" t="str">
        <f>IFERROR(INDEX(Lists!$C$5:$C$34,MATCH(B85,Lists!$A$5:$A$34,0)),"")</f>
        <v>Project Coordinator</v>
      </c>
      <c r="E85" s="9">
        <v>46287</v>
      </c>
      <c r="F85" s="10" t="str">
        <f t="shared" si="7"/>
        <v>Tue</v>
      </c>
      <c r="G85" s="7" t="s">
        <v>53</v>
      </c>
      <c r="H85" s="8" t="str">
        <f>IFERROR(INDEX(Lists!$F$5:$F$9,MATCH(G85,Lists!$E$5:$E$9,0)),"")</f>
        <v>Internal / non-billable</v>
      </c>
      <c r="I85" s="8" t="str">
        <f>IFERROR(INDEX(Lists!$G$5:$G$9,MATCH(G85,Lists!$E$5:$E$9,0)),"")</f>
        <v>N</v>
      </c>
      <c r="J85" s="11">
        <v>4</v>
      </c>
      <c r="K85" s="12">
        <v>0</v>
      </c>
      <c r="L85" s="13" t="str">
        <f>IF(I85&lt;&gt;"Y","",IFERROR(INDEX(Lists!$L$5:$L$20,MATCH(D85&amp;"|"&amp;G85,Lists!$I$5:$I$20,0)),""))</f>
        <v/>
      </c>
      <c r="M85" s="10" t="str">
        <f t="shared" si="8"/>
        <v>E007|20260922|INT-001</v>
      </c>
      <c r="N85" s="10" t="str">
        <f>IF(COUNTIFS($M$5:M85,M85)&gt;1,"DUPLICATE","")</f>
        <v/>
      </c>
      <c r="O85" s="10" t="str">
        <f t="shared" si="9"/>
        <v/>
      </c>
      <c r="P85" s="10" t="str">
        <f t="shared" si="10"/>
        <v/>
      </c>
      <c r="Q85" s="10" t="str">
        <f>IF(COUNTIF(Lists!$E$5:$E$9,G85)=0,"PROJECT?","")</f>
        <v/>
      </c>
      <c r="R85" s="10" t="str">
        <f t="shared" si="11"/>
        <v/>
      </c>
      <c r="S85" s="10" t="str">
        <f>IF(AND(I85="Y",N85="",COUNTIF(Billing_Data!$H$5:$H$319,M85)=0),"NOT BILLED","")</f>
        <v/>
      </c>
      <c r="T85" s="14">
        <f t="shared" si="12"/>
        <v>0</v>
      </c>
      <c r="U85" s="15">
        <f t="shared" si="13"/>
        <v>0</v>
      </c>
    </row>
    <row r="86" spans="1:21" x14ac:dyDescent="0.25">
      <c r="A86" s="7" t="s">
        <v>132</v>
      </c>
      <c r="B86" s="7" t="s">
        <v>124</v>
      </c>
      <c r="C86" s="8" t="str">
        <f>IFERROR(INDEX(Lists!$B$5:$B$34,MATCH(B86,Lists!$A$5:$A$34,0)),"")</f>
        <v>Quinn Garrity</v>
      </c>
      <c r="D86" s="8" t="str">
        <f>IFERROR(INDEX(Lists!$C$5:$C$34,MATCH(B86,Lists!$A$5:$A$34,0)),"")</f>
        <v>Project Coordinator</v>
      </c>
      <c r="E86" s="9">
        <v>46288</v>
      </c>
      <c r="F86" s="10" t="str">
        <f t="shared" si="7"/>
        <v>Wed</v>
      </c>
      <c r="G86" s="7" t="s">
        <v>50</v>
      </c>
      <c r="H86" s="8" t="str">
        <f>IFERROR(INDEX(Lists!$F$5:$F$9,MATCH(G86,Lists!$E$5:$E$9,0)),"")</f>
        <v>Cedar Industrial (fictional)</v>
      </c>
      <c r="I86" s="8" t="str">
        <f>IFERROR(INDEX(Lists!$G$5:$G$9,MATCH(G86,Lists!$E$5:$E$9,0)),"")</f>
        <v>Y</v>
      </c>
      <c r="J86" s="11">
        <v>8</v>
      </c>
      <c r="K86" s="12">
        <v>74</v>
      </c>
      <c r="L86" s="13">
        <f>IF(I86&lt;&gt;"Y","",IFERROR(INDEX(Lists!$L$5:$L$20,MATCH(D86&amp;"|"&amp;G86,Lists!$I$5:$I$20,0)),""))</f>
        <v>74</v>
      </c>
      <c r="M86" s="10" t="str">
        <f t="shared" si="8"/>
        <v>E007|20260923|P103</v>
      </c>
      <c r="N86" s="10" t="str">
        <f>IF(COUNTIFS($M$5:M86,M86)&gt;1,"DUPLICATE","")</f>
        <v/>
      </c>
      <c r="O86" s="10" t="str">
        <f t="shared" si="9"/>
        <v/>
      </c>
      <c r="P86" s="10" t="str">
        <f t="shared" si="10"/>
        <v/>
      </c>
      <c r="Q86" s="10" t="str">
        <f>IF(COUNTIF(Lists!$E$5:$E$9,G86)=0,"PROJECT?","")</f>
        <v/>
      </c>
      <c r="R86" s="10" t="str">
        <f t="shared" si="11"/>
        <v/>
      </c>
      <c r="S86" s="10" t="str">
        <f>IF(AND(I86="Y",N86="",COUNTIF(Billing_Data!$H$5:$H$319,M86)=0),"NOT BILLED","")</f>
        <v/>
      </c>
      <c r="T86" s="14">
        <f t="shared" si="12"/>
        <v>0</v>
      </c>
      <c r="U86" s="15">
        <f t="shared" si="13"/>
        <v>592</v>
      </c>
    </row>
    <row r="87" spans="1:21" x14ac:dyDescent="0.25">
      <c r="A87" s="7" t="s">
        <v>133</v>
      </c>
      <c r="B87" s="7" t="s">
        <v>124</v>
      </c>
      <c r="C87" s="8" t="str">
        <f>IFERROR(INDEX(Lists!$B$5:$B$34,MATCH(B87,Lists!$A$5:$A$34,0)),"")</f>
        <v>Quinn Garrity</v>
      </c>
      <c r="D87" s="8" t="str">
        <f>IFERROR(INDEX(Lists!$C$5:$C$34,MATCH(B87,Lists!$A$5:$A$34,0)),"")</f>
        <v>Project Coordinator</v>
      </c>
      <c r="E87" s="9">
        <v>46289</v>
      </c>
      <c r="F87" s="10" t="str">
        <f t="shared" si="7"/>
        <v>Thu</v>
      </c>
      <c r="G87" s="7" t="s">
        <v>50</v>
      </c>
      <c r="H87" s="8" t="str">
        <f>IFERROR(INDEX(Lists!$F$5:$F$9,MATCH(G87,Lists!$E$5:$E$9,0)),"")</f>
        <v>Cedar Industrial (fictional)</v>
      </c>
      <c r="I87" s="8" t="str">
        <f>IFERROR(INDEX(Lists!$G$5:$G$9,MATCH(G87,Lists!$E$5:$E$9,0)),"")</f>
        <v>Y</v>
      </c>
      <c r="J87" s="11">
        <v>8</v>
      </c>
      <c r="K87" s="12">
        <v>74</v>
      </c>
      <c r="L87" s="13">
        <f>IF(I87&lt;&gt;"Y","",IFERROR(INDEX(Lists!$L$5:$L$20,MATCH(D87&amp;"|"&amp;G87,Lists!$I$5:$I$20,0)),""))</f>
        <v>74</v>
      </c>
      <c r="M87" s="10" t="str">
        <f t="shared" si="8"/>
        <v>E007|20260924|P103</v>
      </c>
      <c r="N87" s="10" t="str">
        <f>IF(COUNTIFS($M$5:M87,M87)&gt;1,"DUPLICATE","")</f>
        <v/>
      </c>
      <c r="O87" s="10" t="str">
        <f t="shared" si="9"/>
        <v/>
      </c>
      <c r="P87" s="10" t="str">
        <f t="shared" si="10"/>
        <v/>
      </c>
      <c r="Q87" s="10" t="str">
        <f>IF(COUNTIF(Lists!$E$5:$E$9,G87)=0,"PROJECT?","")</f>
        <v/>
      </c>
      <c r="R87" s="10" t="str">
        <f t="shared" si="11"/>
        <v/>
      </c>
      <c r="S87" s="10" t="str">
        <f>IF(AND(I87="Y",N87="",COUNTIF(Billing_Data!$H$5:$H$319,M87)=0),"NOT BILLED","")</f>
        <v/>
      </c>
      <c r="T87" s="14">
        <f t="shared" si="12"/>
        <v>0</v>
      </c>
      <c r="U87" s="15">
        <f t="shared" si="13"/>
        <v>592</v>
      </c>
    </row>
    <row r="88" spans="1:21" x14ac:dyDescent="0.25">
      <c r="A88" s="7" t="s">
        <v>134</v>
      </c>
      <c r="B88" s="7" t="s">
        <v>124</v>
      </c>
      <c r="C88" s="8" t="str">
        <f>IFERROR(INDEX(Lists!$B$5:$B$34,MATCH(B88,Lists!$A$5:$A$34,0)),"")</f>
        <v>Quinn Garrity</v>
      </c>
      <c r="D88" s="8" t="str">
        <f>IFERROR(INDEX(Lists!$C$5:$C$34,MATCH(B88,Lists!$A$5:$A$34,0)),"")</f>
        <v>Project Coordinator</v>
      </c>
      <c r="E88" s="9">
        <v>46290</v>
      </c>
      <c r="F88" s="10" t="str">
        <f t="shared" si="7"/>
        <v>Fri</v>
      </c>
      <c r="G88" s="7" t="s">
        <v>50</v>
      </c>
      <c r="H88" s="8" t="str">
        <f>IFERROR(INDEX(Lists!$F$5:$F$9,MATCH(G88,Lists!$E$5:$E$9,0)),"")</f>
        <v>Cedar Industrial (fictional)</v>
      </c>
      <c r="I88" s="8" t="str">
        <f>IFERROR(INDEX(Lists!$G$5:$G$9,MATCH(G88,Lists!$E$5:$E$9,0)),"")</f>
        <v>Y</v>
      </c>
      <c r="J88" s="11">
        <v>8</v>
      </c>
      <c r="K88" s="12">
        <v>74</v>
      </c>
      <c r="L88" s="13">
        <f>IF(I88&lt;&gt;"Y","",IFERROR(INDEX(Lists!$L$5:$L$20,MATCH(D88&amp;"|"&amp;G88,Lists!$I$5:$I$20,0)),""))</f>
        <v>74</v>
      </c>
      <c r="M88" s="10" t="str">
        <f t="shared" si="8"/>
        <v>E007|20260925|P103</v>
      </c>
      <c r="N88" s="10" t="str">
        <f>IF(COUNTIFS($M$5:M88,M88)&gt;1,"DUPLICATE","")</f>
        <v/>
      </c>
      <c r="O88" s="10" t="str">
        <f t="shared" si="9"/>
        <v/>
      </c>
      <c r="P88" s="10" t="str">
        <f t="shared" si="10"/>
        <v/>
      </c>
      <c r="Q88" s="10" t="str">
        <f>IF(COUNTIF(Lists!$E$5:$E$9,G88)=0,"PROJECT?","")</f>
        <v/>
      </c>
      <c r="R88" s="10" t="str">
        <f t="shared" si="11"/>
        <v/>
      </c>
      <c r="S88" s="10" t="str">
        <f>IF(AND(I88="Y",N88="",COUNTIF(Billing_Data!$H$5:$H$319,M88)=0),"NOT BILLED","")</f>
        <v/>
      </c>
      <c r="T88" s="14">
        <f t="shared" si="12"/>
        <v>0</v>
      </c>
      <c r="U88" s="15">
        <f t="shared" si="13"/>
        <v>592</v>
      </c>
    </row>
    <row r="89" spans="1:21" x14ac:dyDescent="0.25">
      <c r="A89" s="7" t="s">
        <v>135</v>
      </c>
      <c r="B89" s="7" t="s">
        <v>136</v>
      </c>
      <c r="C89" s="8" t="str">
        <f>IFERROR(INDEX(Lists!$B$5:$B$34,MATCH(B89,Lists!$A$5:$A$34,0)),"")</f>
        <v>Parker Holloway</v>
      </c>
      <c r="D89" s="8" t="str">
        <f>IFERROR(INDEX(Lists!$C$5:$C$34,MATCH(B89,Lists!$A$5:$A$34,0)),"")</f>
        <v>Project Coordinator</v>
      </c>
      <c r="E89" s="9">
        <v>46279</v>
      </c>
      <c r="F89" s="10" t="str">
        <f t="shared" si="7"/>
        <v>Mon</v>
      </c>
      <c r="G89" s="7" t="s">
        <v>74</v>
      </c>
      <c r="H89" s="8" t="str">
        <f>IFERROR(INDEX(Lists!$F$5:$F$9,MATCH(G89,Lists!$E$5:$E$9,0)),"")</f>
        <v>Delta Environmental (fictional)</v>
      </c>
      <c r="I89" s="8" t="str">
        <f>IFERROR(INDEX(Lists!$G$5:$G$9,MATCH(G89,Lists!$E$5:$E$9,0)),"")</f>
        <v>Y</v>
      </c>
      <c r="J89" s="11">
        <v>8</v>
      </c>
      <c r="K89" s="12">
        <v>86</v>
      </c>
      <c r="L89" s="13">
        <f>IF(I89&lt;&gt;"Y","",IFERROR(INDEX(Lists!$L$5:$L$20,MATCH(D89&amp;"|"&amp;G89,Lists!$I$5:$I$20,0)),""))</f>
        <v>86</v>
      </c>
      <c r="M89" s="10" t="str">
        <f t="shared" si="8"/>
        <v>E008|20260914|P104</v>
      </c>
      <c r="N89" s="10" t="str">
        <f>IF(COUNTIFS($M$5:M89,M89)&gt;1,"DUPLICATE","")</f>
        <v/>
      </c>
      <c r="O89" s="10" t="str">
        <f t="shared" si="9"/>
        <v/>
      </c>
      <c r="P89" s="10" t="str">
        <f t="shared" si="10"/>
        <v/>
      </c>
      <c r="Q89" s="10" t="str">
        <f>IF(COUNTIF(Lists!$E$5:$E$9,G89)=0,"PROJECT?","")</f>
        <v/>
      </c>
      <c r="R89" s="10" t="str">
        <f t="shared" si="11"/>
        <v/>
      </c>
      <c r="S89" s="10" t="str">
        <f>IF(AND(I89="Y",N89="",COUNTIF(Billing_Data!$H$5:$H$319,M89)=0),"NOT BILLED","")</f>
        <v/>
      </c>
      <c r="T89" s="14">
        <f t="shared" si="12"/>
        <v>0</v>
      </c>
      <c r="U89" s="15">
        <f t="shared" si="13"/>
        <v>688</v>
      </c>
    </row>
    <row r="90" spans="1:21" x14ac:dyDescent="0.25">
      <c r="A90" s="7" t="s">
        <v>137</v>
      </c>
      <c r="B90" s="7" t="s">
        <v>136</v>
      </c>
      <c r="C90" s="8" t="str">
        <f>IFERROR(INDEX(Lists!$B$5:$B$34,MATCH(B90,Lists!$A$5:$A$34,0)),"")</f>
        <v>Parker Holloway</v>
      </c>
      <c r="D90" s="8" t="str">
        <f>IFERROR(INDEX(Lists!$C$5:$C$34,MATCH(B90,Lists!$A$5:$A$34,0)),"")</f>
        <v>Project Coordinator</v>
      </c>
      <c r="E90" s="9">
        <v>46280</v>
      </c>
      <c r="F90" s="10" t="str">
        <f t="shared" si="7"/>
        <v>Tue</v>
      </c>
      <c r="G90" s="7" t="s">
        <v>74</v>
      </c>
      <c r="H90" s="8" t="str">
        <f>IFERROR(INDEX(Lists!$F$5:$F$9,MATCH(G90,Lists!$E$5:$E$9,0)),"")</f>
        <v>Delta Environmental (fictional)</v>
      </c>
      <c r="I90" s="8" t="str">
        <f>IFERROR(INDEX(Lists!$G$5:$G$9,MATCH(G90,Lists!$E$5:$E$9,0)),"")</f>
        <v>Y</v>
      </c>
      <c r="J90" s="11">
        <v>8</v>
      </c>
      <c r="K90" s="12">
        <v>86</v>
      </c>
      <c r="L90" s="13">
        <f>IF(I90&lt;&gt;"Y","",IFERROR(INDEX(Lists!$L$5:$L$20,MATCH(D90&amp;"|"&amp;G90,Lists!$I$5:$I$20,0)),""))</f>
        <v>86</v>
      </c>
      <c r="M90" s="10" t="str">
        <f t="shared" si="8"/>
        <v>E008|20260915|P104</v>
      </c>
      <c r="N90" s="10" t="str">
        <f>IF(COUNTIFS($M$5:M90,M90)&gt;1,"DUPLICATE","")</f>
        <v/>
      </c>
      <c r="O90" s="10" t="str">
        <f t="shared" si="9"/>
        <v/>
      </c>
      <c r="P90" s="10" t="str">
        <f t="shared" si="10"/>
        <v/>
      </c>
      <c r="Q90" s="10" t="str">
        <f>IF(COUNTIF(Lists!$E$5:$E$9,G90)=0,"PROJECT?","")</f>
        <v/>
      </c>
      <c r="R90" s="10" t="str">
        <f t="shared" si="11"/>
        <v/>
      </c>
      <c r="S90" s="10" t="str">
        <f>IF(AND(I90="Y",N90="",COUNTIF(Billing_Data!$H$5:$H$319,M90)=0),"NOT BILLED","")</f>
        <v/>
      </c>
      <c r="T90" s="14">
        <f t="shared" si="12"/>
        <v>0</v>
      </c>
      <c r="U90" s="15">
        <f t="shared" si="13"/>
        <v>688</v>
      </c>
    </row>
    <row r="91" spans="1:21" x14ac:dyDescent="0.25">
      <c r="A91" s="7" t="s">
        <v>138</v>
      </c>
      <c r="B91" s="7" t="s">
        <v>136</v>
      </c>
      <c r="C91" s="8" t="str">
        <f>IFERROR(INDEX(Lists!$B$5:$B$34,MATCH(B91,Lists!$A$5:$A$34,0)),"")</f>
        <v>Parker Holloway</v>
      </c>
      <c r="D91" s="8" t="str">
        <f>IFERROR(INDEX(Lists!$C$5:$C$34,MATCH(B91,Lists!$A$5:$A$34,0)),"")</f>
        <v>Project Coordinator</v>
      </c>
      <c r="E91" s="9">
        <v>46281</v>
      </c>
      <c r="F91" s="10" t="str">
        <f t="shared" si="7"/>
        <v>Wed</v>
      </c>
      <c r="G91" s="7" t="s">
        <v>74</v>
      </c>
      <c r="H91" s="8" t="str">
        <f>IFERROR(INDEX(Lists!$F$5:$F$9,MATCH(G91,Lists!$E$5:$E$9,0)),"")</f>
        <v>Delta Environmental (fictional)</v>
      </c>
      <c r="I91" s="8" t="str">
        <f>IFERROR(INDEX(Lists!$G$5:$G$9,MATCH(G91,Lists!$E$5:$E$9,0)),"")</f>
        <v>Y</v>
      </c>
      <c r="J91" s="11">
        <v>8</v>
      </c>
      <c r="K91" s="12">
        <v>86</v>
      </c>
      <c r="L91" s="13">
        <f>IF(I91&lt;&gt;"Y","",IFERROR(INDEX(Lists!$L$5:$L$20,MATCH(D91&amp;"|"&amp;G91,Lists!$I$5:$I$20,0)),""))</f>
        <v>86</v>
      </c>
      <c r="M91" s="10" t="str">
        <f t="shared" si="8"/>
        <v>E008|20260916|P104</v>
      </c>
      <c r="N91" s="10" t="str">
        <f>IF(COUNTIFS($M$5:M91,M91)&gt;1,"DUPLICATE","")</f>
        <v/>
      </c>
      <c r="O91" s="10" t="str">
        <f t="shared" si="9"/>
        <v/>
      </c>
      <c r="P91" s="10" t="str">
        <f t="shared" si="10"/>
        <v/>
      </c>
      <c r="Q91" s="10" t="str">
        <f>IF(COUNTIF(Lists!$E$5:$E$9,G91)=0,"PROJECT?","")</f>
        <v/>
      </c>
      <c r="R91" s="10" t="str">
        <f t="shared" si="11"/>
        <v/>
      </c>
      <c r="S91" s="10" t="str">
        <f>IF(AND(I91="Y",N91="",COUNTIF(Billing_Data!$H$5:$H$319,M91)=0),"NOT BILLED","")</f>
        <v/>
      </c>
      <c r="T91" s="14">
        <f t="shared" si="12"/>
        <v>0</v>
      </c>
      <c r="U91" s="15">
        <f t="shared" si="13"/>
        <v>688</v>
      </c>
    </row>
    <row r="92" spans="1:21" x14ac:dyDescent="0.25">
      <c r="A92" s="7" t="s">
        <v>139</v>
      </c>
      <c r="B92" s="7" t="s">
        <v>136</v>
      </c>
      <c r="C92" s="8" t="str">
        <f>IFERROR(INDEX(Lists!$B$5:$B$34,MATCH(B92,Lists!$A$5:$A$34,0)),"")</f>
        <v>Parker Holloway</v>
      </c>
      <c r="D92" s="8" t="str">
        <f>IFERROR(INDEX(Lists!$C$5:$C$34,MATCH(B92,Lists!$A$5:$A$34,0)),"")</f>
        <v>Project Coordinator</v>
      </c>
      <c r="E92" s="9">
        <v>46282</v>
      </c>
      <c r="F92" s="10" t="str">
        <f t="shared" si="7"/>
        <v>Thu</v>
      </c>
      <c r="G92" s="7" t="s">
        <v>74</v>
      </c>
      <c r="H92" s="8" t="str">
        <f>IFERROR(INDEX(Lists!$F$5:$F$9,MATCH(G92,Lists!$E$5:$E$9,0)),"")</f>
        <v>Delta Environmental (fictional)</v>
      </c>
      <c r="I92" s="8" t="str">
        <f>IFERROR(INDEX(Lists!$G$5:$G$9,MATCH(G92,Lists!$E$5:$E$9,0)),"")</f>
        <v>Y</v>
      </c>
      <c r="J92" s="11">
        <v>8</v>
      </c>
      <c r="K92" s="12">
        <v>86</v>
      </c>
      <c r="L92" s="13">
        <f>IF(I92&lt;&gt;"Y","",IFERROR(INDEX(Lists!$L$5:$L$20,MATCH(D92&amp;"|"&amp;G92,Lists!$I$5:$I$20,0)),""))</f>
        <v>86</v>
      </c>
      <c r="M92" s="10" t="str">
        <f t="shared" si="8"/>
        <v>E008|20260917|P104</v>
      </c>
      <c r="N92" s="10" t="str">
        <f>IF(COUNTIFS($M$5:M92,M92)&gt;1,"DUPLICATE","")</f>
        <v/>
      </c>
      <c r="O92" s="10" t="str">
        <f t="shared" si="9"/>
        <v/>
      </c>
      <c r="P92" s="10" t="str">
        <f t="shared" si="10"/>
        <v/>
      </c>
      <c r="Q92" s="10" t="str">
        <f>IF(COUNTIF(Lists!$E$5:$E$9,G92)=0,"PROJECT?","")</f>
        <v/>
      </c>
      <c r="R92" s="10" t="str">
        <f t="shared" si="11"/>
        <v/>
      </c>
      <c r="S92" s="10" t="str">
        <f>IF(AND(I92="Y",N92="",COUNTIF(Billing_Data!$H$5:$H$319,M92)=0),"NOT BILLED","")</f>
        <v/>
      </c>
      <c r="T92" s="14">
        <f t="shared" si="12"/>
        <v>0</v>
      </c>
      <c r="U92" s="15">
        <f t="shared" si="13"/>
        <v>688</v>
      </c>
    </row>
    <row r="93" spans="1:21" x14ac:dyDescent="0.25">
      <c r="A93" s="7" t="s">
        <v>140</v>
      </c>
      <c r="B93" s="7" t="s">
        <v>136</v>
      </c>
      <c r="C93" s="8" t="str">
        <f>IFERROR(INDEX(Lists!$B$5:$B$34,MATCH(B93,Lists!$A$5:$A$34,0)),"")</f>
        <v>Parker Holloway</v>
      </c>
      <c r="D93" s="8" t="str">
        <f>IFERROR(INDEX(Lists!$C$5:$C$34,MATCH(B93,Lists!$A$5:$A$34,0)),"")</f>
        <v>Project Coordinator</v>
      </c>
      <c r="E93" s="9">
        <v>46283</v>
      </c>
      <c r="F93" s="10" t="str">
        <f t="shared" si="7"/>
        <v>Fri</v>
      </c>
      <c r="G93" s="7" t="s">
        <v>74</v>
      </c>
      <c r="H93" s="8" t="str">
        <f>IFERROR(INDEX(Lists!$F$5:$F$9,MATCH(G93,Lists!$E$5:$E$9,0)),"")</f>
        <v>Delta Environmental (fictional)</v>
      </c>
      <c r="I93" s="8" t="str">
        <f>IFERROR(INDEX(Lists!$G$5:$G$9,MATCH(G93,Lists!$E$5:$E$9,0)),"")</f>
        <v>Y</v>
      </c>
      <c r="J93" s="11">
        <v>8</v>
      </c>
      <c r="K93" s="12">
        <v>86</v>
      </c>
      <c r="L93" s="13">
        <f>IF(I93&lt;&gt;"Y","",IFERROR(INDEX(Lists!$L$5:$L$20,MATCH(D93&amp;"|"&amp;G93,Lists!$I$5:$I$20,0)),""))</f>
        <v>86</v>
      </c>
      <c r="M93" s="10" t="str">
        <f t="shared" si="8"/>
        <v>E008|20260918|P104</v>
      </c>
      <c r="N93" s="10" t="str">
        <f>IF(COUNTIFS($M$5:M93,M93)&gt;1,"DUPLICATE","")</f>
        <v/>
      </c>
      <c r="O93" s="10" t="str">
        <f t="shared" si="9"/>
        <v/>
      </c>
      <c r="P93" s="10" t="str">
        <f t="shared" si="10"/>
        <v/>
      </c>
      <c r="Q93" s="10" t="str">
        <f>IF(COUNTIF(Lists!$E$5:$E$9,G93)=0,"PROJECT?","")</f>
        <v/>
      </c>
      <c r="R93" s="10" t="str">
        <f t="shared" si="11"/>
        <v/>
      </c>
      <c r="S93" s="10" t="str">
        <f>IF(AND(I93="Y",N93="",COUNTIF(Billing_Data!$H$5:$H$319,M93)=0),"NOT BILLED","")</f>
        <v/>
      </c>
      <c r="T93" s="14">
        <f t="shared" si="12"/>
        <v>0</v>
      </c>
      <c r="U93" s="15">
        <f t="shared" si="13"/>
        <v>688</v>
      </c>
    </row>
    <row r="94" spans="1:21" x14ac:dyDescent="0.25">
      <c r="A94" s="7" t="s">
        <v>141</v>
      </c>
      <c r="B94" s="7" t="s">
        <v>136</v>
      </c>
      <c r="C94" s="8" t="str">
        <f>IFERROR(INDEX(Lists!$B$5:$B$34,MATCH(B94,Lists!$A$5:$A$34,0)),"")</f>
        <v>Parker Holloway</v>
      </c>
      <c r="D94" s="8" t="str">
        <f>IFERROR(INDEX(Lists!$C$5:$C$34,MATCH(B94,Lists!$A$5:$A$34,0)),"")</f>
        <v>Project Coordinator</v>
      </c>
      <c r="E94" s="9">
        <v>46286</v>
      </c>
      <c r="F94" s="10" t="str">
        <f t="shared" si="7"/>
        <v>Mon</v>
      </c>
      <c r="G94" s="7" t="s">
        <v>74</v>
      </c>
      <c r="H94" s="8" t="str">
        <f>IFERROR(INDEX(Lists!$F$5:$F$9,MATCH(G94,Lists!$E$5:$E$9,0)),"")</f>
        <v>Delta Environmental (fictional)</v>
      </c>
      <c r="I94" s="8" t="str">
        <f>IFERROR(INDEX(Lists!$G$5:$G$9,MATCH(G94,Lists!$E$5:$E$9,0)),"")</f>
        <v>Y</v>
      </c>
      <c r="J94" s="11">
        <v>8</v>
      </c>
      <c r="K94" s="12">
        <v>86</v>
      </c>
      <c r="L94" s="13">
        <f>IF(I94&lt;&gt;"Y","",IFERROR(INDEX(Lists!$L$5:$L$20,MATCH(D94&amp;"|"&amp;G94,Lists!$I$5:$I$20,0)),""))</f>
        <v>86</v>
      </c>
      <c r="M94" s="10" t="str">
        <f t="shared" si="8"/>
        <v>E008|20260921|P104</v>
      </c>
      <c r="N94" s="10" t="str">
        <f>IF(COUNTIFS($M$5:M94,M94)&gt;1,"DUPLICATE","")</f>
        <v/>
      </c>
      <c r="O94" s="10" t="str">
        <f t="shared" si="9"/>
        <v/>
      </c>
      <c r="P94" s="10" t="str">
        <f t="shared" si="10"/>
        <v/>
      </c>
      <c r="Q94" s="10" t="str">
        <f>IF(COUNTIF(Lists!$E$5:$E$9,G94)=0,"PROJECT?","")</f>
        <v/>
      </c>
      <c r="R94" s="10" t="str">
        <f t="shared" si="11"/>
        <v/>
      </c>
      <c r="S94" s="10" t="str">
        <f>IF(AND(I94="Y",N94="",COUNTIF(Billing_Data!$H$5:$H$319,M94)=0),"NOT BILLED","")</f>
        <v/>
      </c>
      <c r="T94" s="14">
        <f t="shared" si="12"/>
        <v>0</v>
      </c>
      <c r="U94" s="15">
        <f t="shared" si="13"/>
        <v>688</v>
      </c>
    </row>
    <row r="95" spans="1:21" x14ac:dyDescent="0.25">
      <c r="A95" s="7" t="s">
        <v>142</v>
      </c>
      <c r="B95" s="7" t="s">
        <v>136</v>
      </c>
      <c r="C95" s="8" t="str">
        <f>IFERROR(INDEX(Lists!$B$5:$B$34,MATCH(B95,Lists!$A$5:$A$34,0)),"")</f>
        <v>Parker Holloway</v>
      </c>
      <c r="D95" s="8" t="str">
        <f>IFERROR(INDEX(Lists!$C$5:$C$34,MATCH(B95,Lists!$A$5:$A$34,0)),"")</f>
        <v>Project Coordinator</v>
      </c>
      <c r="E95" s="9">
        <v>46287</v>
      </c>
      <c r="F95" s="10" t="str">
        <f t="shared" si="7"/>
        <v>Tue</v>
      </c>
      <c r="G95" s="7" t="s">
        <v>74</v>
      </c>
      <c r="H95" s="8" t="str">
        <f>IFERROR(INDEX(Lists!$F$5:$F$9,MATCH(G95,Lists!$E$5:$E$9,0)),"")</f>
        <v>Delta Environmental (fictional)</v>
      </c>
      <c r="I95" s="8" t="str">
        <f>IFERROR(INDEX(Lists!$G$5:$G$9,MATCH(G95,Lists!$E$5:$E$9,0)),"")</f>
        <v>Y</v>
      </c>
      <c r="J95" s="11">
        <v>8</v>
      </c>
      <c r="K95" s="12">
        <v>86</v>
      </c>
      <c r="L95" s="13">
        <f>IF(I95&lt;&gt;"Y","",IFERROR(INDEX(Lists!$L$5:$L$20,MATCH(D95&amp;"|"&amp;G95,Lists!$I$5:$I$20,0)),""))</f>
        <v>86</v>
      </c>
      <c r="M95" s="10" t="str">
        <f t="shared" si="8"/>
        <v>E008|20260922|P104</v>
      </c>
      <c r="N95" s="10" t="str">
        <f>IF(COUNTIFS($M$5:M95,M95)&gt;1,"DUPLICATE","")</f>
        <v/>
      </c>
      <c r="O95" s="10" t="str">
        <f t="shared" si="9"/>
        <v/>
      </c>
      <c r="P95" s="10" t="str">
        <f t="shared" si="10"/>
        <v/>
      </c>
      <c r="Q95" s="10" t="str">
        <f>IF(COUNTIF(Lists!$E$5:$E$9,G95)=0,"PROJECT?","")</f>
        <v/>
      </c>
      <c r="R95" s="10" t="str">
        <f t="shared" si="11"/>
        <v/>
      </c>
      <c r="S95" s="10" t="str">
        <f>IF(AND(I95="Y",N95="",COUNTIF(Billing_Data!$H$5:$H$319,M95)=0),"NOT BILLED","")</f>
        <v/>
      </c>
      <c r="T95" s="14">
        <f t="shared" si="12"/>
        <v>0</v>
      </c>
      <c r="U95" s="15">
        <f t="shared" si="13"/>
        <v>688</v>
      </c>
    </row>
    <row r="96" spans="1:21" x14ac:dyDescent="0.25">
      <c r="A96" s="7" t="s">
        <v>143</v>
      </c>
      <c r="B96" s="7" t="s">
        <v>136</v>
      </c>
      <c r="C96" s="8" t="str">
        <f>IFERROR(INDEX(Lists!$B$5:$B$34,MATCH(B96,Lists!$A$5:$A$34,0)),"")</f>
        <v>Parker Holloway</v>
      </c>
      <c r="D96" s="8" t="str">
        <f>IFERROR(INDEX(Lists!$C$5:$C$34,MATCH(B96,Lists!$A$5:$A$34,0)),"")</f>
        <v>Project Coordinator</v>
      </c>
      <c r="E96" s="9">
        <v>46288</v>
      </c>
      <c r="F96" s="10" t="str">
        <f t="shared" si="7"/>
        <v>Wed</v>
      </c>
      <c r="G96" s="7" t="s">
        <v>74</v>
      </c>
      <c r="H96" s="8" t="str">
        <f>IFERROR(INDEX(Lists!$F$5:$F$9,MATCH(G96,Lists!$E$5:$E$9,0)),"")</f>
        <v>Delta Environmental (fictional)</v>
      </c>
      <c r="I96" s="8" t="str">
        <f>IFERROR(INDEX(Lists!$G$5:$G$9,MATCH(G96,Lists!$E$5:$E$9,0)),"")</f>
        <v>Y</v>
      </c>
      <c r="J96" s="11">
        <v>8</v>
      </c>
      <c r="K96" s="12">
        <v>86</v>
      </c>
      <c r="L96" s="13">
        <f>IF(I96&lt;&gt;"Y","",IFERROR(INDEX(Lists!$L$5:$L$20,MATCH(D96&amp;"|"&amp;G96,Lists!$I$5:$I$20,0)),""))</f>
        <v>86</v>
      </c>
      <c r="M96" s="10" t="str">
        <f t="shared" si="8"/>
        <v>E008|20260923|P104</v>
      </c>
      <c r="N96" s="10" t="str">
        <f>IF(COUNTIFS($M$5:M96,M96)&gt;1,"DUPLICATE","")</f>
        <v/>
      </c>
      <c r="O96" s="10" t="str">
        <f t="shared" si="9"/>
        <v/>
      </c>
      <c r="P96" s="10" t="str">
        <f t="shared" si="10"/>
        <v/>
      </c>
      <c r="Q96" s="10" t="str">
        <f>IF(COUNTIF(Lists!$E$5:$E$9,G96)=0,"PROJECT?","")</f>
        <v/>
      </c>
      <c r="R96" s="10" t="str">
        <f t="shared" si="11"/>
        <v/>
      </c>
      <c r="S96" s="10" t="str">
        <f>IF(AND(I96="Y",N96="",COUNTIF(Billing_Data!$H$5:$H$319,M96)=0),"NOT BILLED","")</f>
        <v/>
      </c>
      <c r="T96" s="14">
        <f t="shared" si="12"/>
        <v>0</v>
      </c>
      <c r="U96" s="15">
        <f t="shared" si="13"/>
        <v>688</v>
      </c>
    </row>
    <row r="97" spans="1:21" x14ac:dyDescent="0.25">
      <c r="A97" s="7" t="s">
        <v>144</v>
      </c>
      <c r="B97" s="7" t="s">
        <v>136</v>
      </c>
      <c r="C97" s="8" t="str">
        <f>IFERROR(INDEX(Lists!$B$5:$B$34,MATCH(B97,Lists!$A$5:$A$34,0)),"")</f>
        <v>Parker Holloway</v>
      </c>
      <c r="D97" s="8" t="str">
        <f>IFERROR(INDEX(Lists!$C$5:$C$34,MATCH(B97,Lists!$A$5:$A$34,0)),"")</f>
        <v>Project Coordinator</v>
      </c>
      <c r="E97" s="9">
        <v>46289</v>
      </c>
      <c r="F97" s="10" t="str">
        <f t="shared" si="7"/>
        <v>Thu</v>
      </c>
      <c r="G97" s="7" t="s">
        <v>74</v>
      </c>
      <c r="H97" s="8" t="str">
        <f>IFERROR(INDEX(Lists!$F$5:$F$9,MATCH(G97,Lists!$E$5:$E$9,0)),"")</f>
        <v>Delta Environmental (fictional)</v>
      </c>
      <c r="I97" s="8" t="str">
        <f>IFERROR(INDEX(Lists!$G$5:$G$9,MATCH(G97,Lists!$E$5:$E$9,0)),"")</f>
        <v>Y</v>
      </c>
      <c r="J97" s="11">
        <v>8</v>
      </c>
      <c r="K97" s="12">
        <v>86</v>
      </c>
      <c r="L97" s="13">
        <f>IF(I97&lt;&gt;"Y","",IFERROR(INDEX(Lists!$L$5:$L$20,MATCH(D97&amp;"|"&amp;G97,Lists!$I$5:$I$20,0)),""))</f>
        <v>86</v>
      </c>
      <c r="M97" s="10" t="str">
        <f t="shared" si="8"/>
        <v>E008|20260924|P104</v>
      </c>
      <c r="N97" s="10" t="str">
        <f>IF(COUNTIFS($M$5:M97,M97)&gt;1,"DUPLICATE","")</f>
        <v/>
      </c>
      <c r="O97" s="10" t="str">
        <f t="shared" si="9"/>
        <v/>
      </c>
      <c r="P97" s="10" t="str">
        <f t="shared" si="10"/>
        <v/>
      </c>
      <c r="Q97" s="10" t="str">
        <f>IF(COUNTIF(Lists!$E$5:$E$9,G97)=0,"PROJECT?","")</f>
        <v/>
      </c>
      <c r="R97" s="10" t="str">
        <f t="shared" si="11"/>
        <v/>
      </c>
      <c r="S97" s="10" t="str">
        <f>IF(AND(I97="Y",N97="",COUNTIF(Billing_Data!$H$5:$H$319,M97)=0),"NOT BILLED","")</f>
        <v/>
      </c>
      <c r="T97" s="14">
        <f t="shared" si="12"/>
        <v>0</v>
      </c>
      <c r="U97" s="15">
        <f t="shared" si="13"/>
        <v>688</v>
      </c>
    </row>
    <row r="98" spans="1:21" x14ac:dyDescent="0.25">
      <c r="A98" s="7" t="s">
        <v>145</v>
      </c>
      <c r="B98" s="7" t="s">
        <v>136</v>
      </c>
      <c r="C98" s="8" t="str">
        <f>IFERROR(INDEX(Lists!$B$5:$B$34,MATCH(B98,Lists!$A$5:$A$34,0)),"")</f>
        <v>Parker Holloway</v>
      </c>
      <c r="D98" s="8" t="str">
        <f>IFERROR(INDEX(Lists!$C$5:$C$34,MATCH(B98,Lists!$A$5:$A$34,0)),"")</f>
        <v>Project Coordinator</v>
      </c>
      <c r="E98" s="9">
        <v>46290</v>
      </c>
      <c r="F98" s="10" t="str">
        <f t="shared" si="7"/>
        <v>Fri</v>
      </c>
      <c r="G98" s="7" t="s">
        <v>74</v>
      </c>
      <c r="H98" s="8" t="str">
        <f>IFERROR(INDEX(Lists!$F$5:$F$9,MATCH(G98,Lists!$E$5:$E$9,0)),"")</f>
        <v>Delta Environmental (fictional)</v>
      </c>
      <c r="I98" s="8" t="str">
        <f>IFERROR(INDEX(Lists!$G$5:$G$9,MATCH(G98,Lists!$E$5:$E$9,0)),"")</f>
        <v>Y</v>
      </c>
      <c r="J98" s="11">
        <v>8</v>
      </c>
      <c r="K98" s="12">
        <v>86</v>
      </c>
      <c r="L98" s="13">
        <f>IF(I98&lt;&gt;"Y","",IFERROR(INDEX(Lists!$L$5:$L$20,MATCH(D98&amp;"|"&amp;G98,Lists!$I$5:$I$20,0)),""))</f>
        <v>86</v>
      </c>
      <c r="M98" s="10" t="str">
        <f t="shared" si="8"/>
        <v>E008|20260925|P104</v>
      </c>
      <c r="N98" s="10" t="str">
        <f>IF(COUNTIFS($M$5:M98,M98)&gt;1,"DUPLICATE","")</f>
        <v/>
      </c>
      <c r="O98" s="10" t="str">
        <f t="shared" si="9"/>
        <v/>
      </c>
      <c r="P98" s="10" t="str">
        <f t="shared" si="10"/>
        <v/>
      </c>
      <c r="Q98" s="10" t="str">
        <f>IF(COUNTIF(Lists!$E$5:$E$9,G98)=0,"PROJECT?","")</f>
        <v/>
      </c>
      <c r="R98" s="10" t="str">
        <f t="shared" si="11"/>
        <v/>
      </c>
      <c r="S98" s="10" t="str">
        <f>IF(AND(I98="Y",N98="",COUNTIF(Billing_Data!$H$5:$H$319,M98)=0),"NOT BILLED","")</f>
        <v/>
      </c>
      <c r="T98" s="14">
        <f t="shared" si="12"/>
        <v>0</v>
      </c>
      <c r="U98" s="15">
        <f t="shared" si="13"/>
        <v>688</v>
      </c>
    </row>
    <row r="99" spans="1:21" x14ac:dyDescent="0.25">
      <c r="A99" s="7" t="s">
        <v>146</v>
      </c>
      <c r="B99" s="7" t="s">
        <v>147</v>
      </c>
      <c r="C99" s="8" t="str">
        <f>IFERROR(INDEX(Lists!$B$5:$B$34,MATCH(B99,Lists!$A$5:$A$34,0)),"")</f>
        <v>Rowan Ingram</v>
      </c>
      <c r="D99" s="8" t="str">
        <f>IFERROR(INDEX(Lists!$C$5:$C$34,MATCH(B99,Lists!$A$5:$A$34,0)),"")</f>
        <v>Project Coordinator</v>
      </c>
      <c r="E99" s="9">
        <v>46279</v>
      </c>
      <c r="F99" s="10" t="str">
        <f t="shared" si="7"/>
        <v>Mon</v>
      </c>
      <c r="G99" s="7" t="s">
        <v>41</v>
      </c>
      <c r="H99" s="8" t="str">
        <f>IFERROR(INDEX(Lists!$F$5:$F$9,MATCH(G99,Lists!$E$5:$E$9,0)),"")</f>
        <v>Alder Energy (fictional)</v>
      </c>
      <c r="I99" s="8" t="str">
        <f>IFERROR(INDEX(Lists!$G$5:$G$9,MATCH(G99,Lists!$E$5:$E$9,0)),"")</f>
        <v>Y</v>
      </c>
      <c r="J99" s="11">
        <v>8</v>
      </c>
      <c r="K99" s="12">
        <v>78</v>
      </c>
      <c r="L99" s="13">
        <f>IF(I99&lt;&gt;"Y","",IFERROR(INDEX(Lists!$L$5:$L$20,MATCH(D99&amp;"|"&amp;G99,Lists!$I$5:$I$20,0)),""))</f>
        <v>78</v>
      </c>
      <c r="M99" s="10" t="str">
        <f t="shared" si="8"/>
        <v>E009|20260914|P101</v>
      </c>
      <c r="N99" s="10" t="str">
        <f>IF(COUNTIFS($M$5:M99,M99)&gt;1,"DUPLICATE","")</f>
        <v/>
      </c>
      <c r="O99" s="10" t="str">
        <f t="shared" si="9"/>
        <v/>
      </c>
      <c r="P99" s="10" t="str">
        <f t="shared" si="10"/>
        <v/>
      </c>
      <c r="Q99" s="10" t="str">
        <f>IF(COUNTIF(Lists!$E$5:$E$9,G99)=0,"PROJECT?","")</f>
        <v/>
      </c>
      <c r="R99" s="10" t="str">
        <f t="shared" si="11"/>
        <v/>
      </c>
      <c r="S99" s="10" t="str">
        <f>IF(AND(I99="Y",N99="",COUNTIF(Billing_Data!$H$5:$H$319,M99)=0),"NOT BILLED","")</f>
        <v/>
      </c>
      <c r="T99" s="14">
        <f t="shared" si="12"/>
        <v>0</v>
      </c>
      <c r="U99" s="15">
        <f t="shared" si="13"/>
        <v>624</v>
      </c>
    </row>
    <row r="100" spans="1:21" x14ac:dyDescent="0.25">
      <c r="A100" s="7" t="s">
        <v>148</v>
      </c>
      <c r="B100" s="7" t="s">
        <v>147</v>
      </c>
      <c r="C100" s="8" t="str">
        <f>IFERROR(INDEX(Lists!$B$5:$B$34,MATCH(B100,Lists!$A$5:$A$34,0)),"")</f>
        <v>Rowan Ingram</v>
      </c>
      <c r="D100" s="8" t="str">
        <f>IFERROR(INDEX(Lists!$C$5:$C$34,MATCH(B100,Lists!$A$5:$A$34,0)),"")</f>
        <v>Project Coordinator</v>
      </c>
      <c r="E100" s="9">
        <v>46280</v>
      </c>
      <c r="F100" s="10" t="str">
        <f t="shared" si="7"/>
        <v>Tue</v>
      </c>
      <c r="G100" s="7" t="s">
        <v>41</v>
      </c>
      <c r="H100" s="8" t="str">
        <f>IFERROR(INDEX(Lists!$F$5:$F$9,MATCH(G100,Lists!$E$5:$E$9,0)),"")</f>
        <v>Alder Energy (fictional)</v>
      </c>
      <c r="I100" s="8" t="str">
        <f>IFERROR(INDEX(Lists!$G$5:$G$9,MATCH(G100,Lists!$E$5:$E$9,0)),"")</f>
        <v>Y</v>
      </c>
      <c r="J100" s="11">
        <v>8</v>
      </c>
      <c r="K100" s="12">
        <v>78</v>
      </c>
      <c r="L100" s="13">
        <f>IF(I100&lt;&gt;"Y","",IFERROR(INDEX(Lists!$L$5:$L$20,MATCH(D100&amp;"|"&amp;G100,Lists!$I$5:$I$20,0)),""))</f>
        <v>78</v>
      </c>
      <c r="M100" s="10" t="str">
        <f t="shared" si="8"/>
        <v>E009|20260915|P101</v>
      </c>
      <c r="N100" s="10" t="str">
        <f>IF(COUNTIFS($M$5:M100,M100)&gt;1,"DUPLICATE","")</f>
        <v/>
      </c>
      <c r="O100" s="10" t="str">
        <f t="shared" si="9"/>
        <v/>
      </c>
      <c r="P100" s="10" t="str">
        <f t="shared" si="10"/>
        <v/>
      </c>
      <c r="Q100" s="10" t="str">
        <f>IF(COUNTIF(Lists!$E$5:$E$9,G100)=0,"PROJECT?","")</f>
        <v/>
      </c>
      <c r="R100" s="10" t="str">
        <f t="shared" si="11"/>
        <v/>
      </c>
      <c r="S100" s="10" t="str">
        <f>IF(AND(I100="Y",N100="",COUNTIF(Billing_Data!$H$5:$H$319,M100)=0),"NOT BILLED","")</f>
        <v/>
      </c>
      <c r="T100" s="14">
        <f t="shared" si="12"/>
        <v>0</v>
      </c>
      <c r="U100" s="15">
        <f t="shared" si="13"/>
        <v>624</v>
      </c>
    </row>
    <row r="101" spans="1:21" x14ac:dyDescent="0.25">
      <c r="A101" s="7" t="s">
        <v>149</v>
      </c>
      <c r="B101" s="7" t="s">
        <v>147</v>
      </c>
      <c r="C101" s="8" t="str">
        <f>IFERROR(INDEX(Lists!$B$5:$B$34,MATCH(B101,Lists!$A$5:$A$34,0)),"")</f>
        <v>Rowan Ingram</v>
      </c>
      <c r="D101" s="8" t="str">
        <f>IFERROR(INDEX(Lists!$C$5:$C$34,MATCH(B101,Lists!$A$5:$A$34,0)),"")</f>
        <v>Project Coordinator</v>
      </c>
      <c r="E101" s="9">
        <v>46281</v>
      </c>
      <c r="F101" s="10" t="str">
        <f t="shared" si="7"/>
        <v>Wed</v>
      </c>
      <c r="G101" s="7" t="s">
        <v>41</v>
      </c>
      <c r="H101" s="8" t="str">
        <f>IFERROR(INDEX(Lists!$F$5:$F$9,MATCH(G101,Lists!$E$5:$E$9,0)),"")</f>
        <v>Alder Energy (fictional)</v>
      </c>
      <c r="I101" s="8" t="str">
        <f>IFERROR(INDEX(Lists!$G$5:$G$9,MATCH(G101,Lists!$E$5:$E$9,0)),"")</f>
        <v>Y</v>
      </c>
      <c r="J101" s="11">
        <v>8</v>
      </c>
      <c r="K101" s="12">
        <v>78</v>
      </c>
      <c r="L101" s="13">
        <f>IF(I101&lt;&gt;"Y","",IFERROR(INDEX(Lists!$L$5:$L$20,MATCH(D101&amp;"|"&amp;G101,Lists!$I$5:$I$20,0)),""))</f>
        <v>78</v>
      </c>
      <c r="M101" s="10" t="str">
        <f t="shared" si="8"/>
        <v>E009|20260916|P101</v>
      </c>
      <c r="N101" s="10" t="str">
        <f>IF(COUNTIFS($M$5:M101,M101)&gt;1,"DUPLICATE","")</f>
        <v/>
      </c>
      <c r="O101" s="10" t="str">
        <f t="shared" si="9"/>
        <v/>
      </c>
      <c r="P101" s="10" t="str">
        <f t="shared" si="10"/>
        <v/>
      </c>
      <c r="Q101" s="10" t="str">
        <f>IF(COUNTIF(Lists!$E$5:$E$9,G101)=0,"PROJECT?","")</f>
        <v/>
      </c>
      <c r="R101" s="10" t="str">
        <f t="shared" si="11"/>
        <v/>
      </c>
      <c r="S101" s="10" t="str">
        <f>IF(AND(I101="Y",N101="",COUNTIF(Billing_Data!$H$5:$H$319,M101)=0),"NOT BILLED","")</f>
        <v/>
      </c>
      <c r="T101" s="14">
        <f t="shared" si="12"/>
        <v>0</v>
      </c>
      <c r="U101" s="15">
        <f t="shared" si="13"/>
        <v>624</v>
      </c>
    </row>
    <row r="102" spans="1:21" x14ac:dyDescent="0.25">
      <c r="A102" s="7" t="s">
        <v>150</v>
      </c>
      <c r="B102" s="7" t="s">
        <v>147</v>
      </c>
      <c r="C102" s="8" t="str">
        <f>IFERROR(INDEX(Lists!$B$5:$B$34,MATCH(B102,Lists!$A$5:$A$34,0)),"")</f>
        <v>Rowan Ingram</v>
      </c>
      <c r="D102" s="8" t="str">
        <f>IFERROR(INDEX(Lists!$C$5:$C$34,MATCH(B102,Lists!$A$5:$A$34,0)),"")</f>
        <v>Project Coordinator</v>
      </c>
      <c r="E102" s="9">
        <v>46282</v>
      </c>
      <c r="F102" s="10" t="str">
        <f t="shared" si="7"/>
        <v>Thu</v>
      </c>
      <c r="G102" s="7" t="s">
        <v>41</v>
      </c>
      <c r="H102" s="8" t="str">
        <f>IFERROR(INDEX(Lists!$F$5:$F$9,MATCH(G102,Lists!$E$5:$E$9,0)),"")</f>
        <v>Alder Energy (fictional)</v>
      </c>
      <c r="I102" s="8" t="str">
        <f>IFERROR(INDEX(Lists!$G$5:$G$9,MATCH(G102,Lists!$E$5:$E$9,0)),"")</f>
        <v>Y</v>
      </c>
      <c r="J102" s="11">
        <v>8</v>
      </c>
      <c r="K102" s="12">
        <v>78</v>
      </c>
      <c r="L102" s="13">
        <f>IF(I102&lt;&gt;"Y","",IFERROR(INDEX(Lists!$L$5:$L$20,MATCH(D102&amp;"|"&amp;G102,Lists!$I$5:$I$20,0)),""))</f>
        <v>78</v>
      </c>
      <c r="M102" s="10" t="str">
        <f t="shared" si="8"/>
        <v>E009|20260917|P101</v>
      </c>
      <c r="N102" s="10" t="str">
        <f>IF(COUNTIFS($M$5:M102,M102)&gt;1,"DUPLICATE","")</f>
        <v/>
      </c>
      <c r="O102" s="10" t="str">
        <f t="shared" si="9"/>
        <v/>
      </c>
      <c r="P102" s="10" t="str">
        <f t="shared" si="10"/>
        <v/>
      </c>
      <c r="Q102" s="10" t="str">
        <f>IF(COUNTIF(Lists!$E$5:$E$9,G102)=0,"PROJECT?","")</f>
        <v/>
      </c>
      <c r="R102" s="10" t="str">
        <f t="shared" si="11"/>
        <v/>
      </c>
      <c r="S102" s="10" t="str">
        <f>IF(AND(I102="Y",N102="",COUNTIF(Billing_Data!$H$5:$H$319,M102)=0),"NOT BILLED","")</f>
        <v/>
      </c>
      <c r="T102" s="14">
        <f t="shared" si="12"/>
        <v>0</v>
      </c>
      <c r="U102" s="15">
        <f t="shared" si="13"/>
        <v>624</v>
      </c>
    </row>
    <row r="103" spans="1:21" x14ac:dyDescent="0.25">
      <c r="A103" s="7" t="s">
        <v>151</v>
      </c>
      <c r="B103" s="7" t="s">
        <v>147</v>
      </c>
      <c r="C103" s="8" t="str">
        <f>IFERROR(INDEX(Lists!$B$5:$B$34,MATCH(B103,Lists!$A$5:$A$34,0)),"")</f>
        <v>Rowan Ingram</v>
      </c>
      <c r="D103" s="8" t="str">
        <f>IFERROR(INDEX(Lists!$C$5:$C$34,MATCH(B103,Lists!$A$5:$A$34,0)),"")</f>
        <v>Project Coordinator</v>
      </c>
      <c r="E103" s="9">
        <v>46286</v>
      </c>
      <c r="F103" s="10" t="str">
        <f t="shared" si="7"/>
        <v>Mon</v>
      </c>
      <c r="G103" s="7" t="s">
        <v>41</v>
      </c>
      <c r="H103" s="8" t="str">
        <f>IFERROR(INDEX(Lists!$F$5:$F$9,MATCH(G103,Lists!$E$5:$E$9,0)),"")</f>
        <v>Alder Energy (fictional)</v>
      </c>
      <c r="I103" s="8" t="str">
        <f>IFERROR(INDEX(Lists!$G$5:$G$9,MATCH(G103,Lists!$E$5:$E$9,0)),"")</f>
        <v>Y</v>
      </c>
      <c r="J103" s="11">
        <v>8</v>
      </c>
      <c r="K103" s="12">
        <v>78</v>
      </c>
      <c r="L103" s="13">
        <f>IF(I103&lt;&gt;"Y","",IFERROR(INDEX(Lists!$L$5:$L$20,MATCH(D103&amp;"|"&amp;G103,Lists!$I$5:$I$20,0)),""))</f>
        <v>78</v>
      </c>
      <c r="M103" s="10" t="str">
        <f t="shared" si="8"/>
        <v>E009|20260921|P101</v>
      </c>
      <c r="N103" s="10" t="str">
        <f>IF(COUNTIFS($M$5:M103,M103)&gt;1,"DUPLICATE","")</f>
        <v/>
      </c>
      <c r="O103" s="10" t="str">
        <f t="shared" si="9"/>
        <v/>
      </c>
      <c r="P103" s="10" t="str">
        <f t="shared" si="10"/>
        <v/>
      </c>
      <c r="Q103" s="10" t="str">
        <f>IF(COUNTIF(Lists!$E$5:$E$9,G103)=0,"PROJECT?","")</f>
        <v/>
      </c>
      <c r="R103" s="10" t="str">
        <f t="shared" si="11"/>
        <v/>
      </c>
      <c r="S103" s="10" t="str">
        <f>IF(AND(I103="Y",N103="",COUNTIF(Billing_Data!$H$5:$H$319,M103)=0),"NOT BILLED","")</f>
        <v/>
      </c>
      <c r="T103" s="14">
        <f t="shared" si="12"/>
        <v>0</v>
      </c>
      <c r="U103" s="15">
        <f t="shared" si="13"/>
        <v>624</v>
      </c>
    </row>
    <row r="104" spans="1:21" x14ac:dyDescent="0.25">
      <c r="A104" s="7" t="s">
        <v>152</v>
      </c>
      <c r="B104" s="7" t="s">
        <v>147</v>
      </c>
      <c r="C104" s="8" t="str">
        <f>IFERROR(INDEX(Lists!$B$5:$B$34,MATCH(B104,Lists!$A$5:$A$34,0)),"")</f>
        <v>Rowan Ingram</v>
      </c>
      <c r="D104" s="8" t="str">
        <f>IFERROR(INDEX(Lists!$C$5:$C$34,MATCH(B104,Lists!$A$5:$A$34,0)),"")</f>
        <v>Project Coordinator</v>
      </c>
      <c r="E104" s="9">
        <v>46287</v>
      </c>
      <c r="F104" s="10" t="str">
        <f t="shared" si="7"/>
        <v>Tue</v>
      </c>
      <c r="G104" s="7" t="s">
        <v>41</v>
      </c>
      <c r="H104" s="8" t="str">
        <f>IFERROR(INDEX(Lists!$F$5:$F$9,MATCH(G104,Lists!$E$5:$E$9,0)),"")</f>
        <v>Alder Energy (fictional)</v>
      </c>
      <c r="I104" s="8" t="str">
        <f>IFERROR(INDEX(Lists!$G$5:$G$9,MATCH(G104,Lists!$E$5:$E$9,0)),"")</f>
        <v>Y</v>
      </c>
      <c r="J104" s="11">
        <v>8</v>
      </c>
      <c r="K104" s="12">
        <v>78</v>
      </c>
      <c r="L104" s="13">
        <f>IF(I104&lt;&gt;"Y","",IFERROR(INDEX(Lists!$L$5:$L$20,MATCH(D104&amp;"|"&amp;G104,Lists!$I$5:$I$20,0)),""))</f>
        <v>78</v>
      </c>
      <c r="M104" s="10" t="str">
        <f t="shared" si="8"/>
        <v>E009|20260922|P101</v>
      </c>
      <c r="N104" s="10" t="str">
        <f>IF(COUNTIFS($M$5:M104,M104)&gt;1,"DUPLICATE","")</f>
        <v/>
      </c>
      <c r="O104" s="10" t="str">
        <f t="shared" si="9"/>
        <v/>
      </c>
      <c r="P104" s="10" t="str">
        <f t="shared" si="10"/>
        <v/>
      </c>
      <c r="Q104" s="10" t="str">
        <f>IF(COUNTIF(Lists!$E$5:$E$9,G104)=0,"PROJECT?","")</f>
        <v/>
      </c>
      <c r="R104" s="10" t="str">
        <f t="shared" si="11"/>
        <v/>
      </c>
      <c r="S104" s="10" t="str">
        <f>IF(AND(I104="Y",N104="",COUNTIF(Billing_Data!$H$5:$H$319,M104)=0),"NOT BILLED","")</f>
        <v/>
      </c>
      <c r="T104" s="14">
        <f t="shared" si="12"/>
        <v>0</v>
      </c>
      <c r="U104" s="15">
        <f t="shared" si="13"/>
        <v>624</v>
      </c>
    </row>
    <row r="105" spans="1:21" x14ac:dyDescent="0.25">
      <c r="A105" s="7" t="s">
        <v>153</v>
      </c>
      <c r="B105" s="7" t="s">
        <v>147</v>
      </c>
      <c r="C105" s="8" t="str">
        <f>IFERROR(INDEX(Lists!$B$5:$B$34,MATCH(B105,Lists!$A$5:$A$34,0)),"")</f>
        <v>Rowan Ingram</v>
      </c>
      <c r="D105" s="8" t="str">
        <f>IFERROR(INDEX(Lists!$C$5:$C$34,MATCH(B105,Lists!$A$5:$A$34,0)),"")</f>
        <v>Project Coordinator</v>
      </c>
      <c r="E105" s="9">
        <v>46288</v>
      </c>
      <c r="F105" s="10" t="str">
        <f t="shared" si="7"/>
        <v>Wed</v>
      </c>
      <c r="G105" s="7" t="s">
        <v>41</v>
      </c>
      <c r="H105" s="8" t="str">
        <f>IFERROR(INDEX(Lists!$F$5:$F$9,MATCH(G105,Lists!$E$5:$E$9,0)),"")</f>
        <v>Alder Energy (fictional)</v>
      </c>
      <c r="I105" s="8" t="str">
        <f>IFERROR(INDEX(Lists!$G$5:$G$9,MATCH(G105,Lists!$E$5:$E$9,0)),"")</f>
        <v>Y</v>
      </c>
      <c r="J105" s="11">
        <v>8</v>
      </c>
      <c r="K105" s="12">
        <v>78</v>
      </c>
      <c r="L105" s="13">
        <f>IF(I105&lt;&gt;"Y","",IFERROR(INDEX(Lists!$L$5:$L$20,MATCH(D105&amp;"|"&amp;G105,Lists!$I$5:$I$20,0)),""))</f>
        <v>78</v>
      </c>
      <c r="M105" s="10" t="str">
        <f t="shared" si="8"/>
        <v>E009|20260923|P101</v>
      </c>
      <c r="N105" s="10" t="str">
        <f>IF(COUNTIFS($M$5:M105,M105)&gt;1,"DUPLICATE","")</f>
        <v/>
      </c>
      <c r="O105" s="10" t="str">
        <f t="shared" si="9"/>
        <v/>
      </c>
      <c r="P105" s="10" t="str">
        <f t="shared" si="10"/>
        <v/>
      </c>
      <c r="Q105" s="10" t="str">
        <f>IF(COUNTIF(Lists!$E$5:$E$9,G105)=0,"PROJECT?","")</f>
        <v/>
      </c>
      <c r="R105" s="10" t="str">
        <f t="shared" si="11"/>
        <v/>
      </c>
      <c r="S105" s="10" t="str">
        <f>IF(AND(I105="Y",N105="",COUNTIF(Billing_Data!$H$5:$H$319,M105)=0),"NOT BILLED","")</f>
        <v/>
      </c>
      <c r="T105" s="14">
        <f t="shared" si="12"/>
        <v>0</v>
      </c>
      <c r="U105" s="15">
        <f t="shared" si="13"/>
        <v>624</v>
      </c>
    </row>
    <row r="106" spans="1:21" x14ac:dyDescent="0.25">
      <c r="A106" s="7" t="s">
        <v>154</v>
      </c>
      <c r="B106" s="7" t="s">
        <v>147</v>
      </c>
      <c r="C106" s="8" t="str">
        <f>IFERROR(INDEX(Lists!$B$5:$B$34,MATCH(B106,Lists!$A$5:$A$34,0)),"")</f>
        <v>Rowan Ingram</v>
      </c>
      <c r="D106" s="8" t="str">
        <f>IFERROR(INDEX(Lists!$C$5:$C$34,MATCH(B106,Lists!$A$5:$A$34,0)),"")</f>
        <v>Project Coordinator</v>
      </c>
      <c r="E106" s="9">
        <v>46289</v>
      </c>
      <c r="F106" s="10" t="str">
        <f t="shared" si="7"/>
        <v>Thu</v>
      </c>
      <c r="G106" s="7" t="s">
        <v>41</v>
      </c>
      <c r="H106" s="8" t="str">
        <f>IFERROR(INDEX(Lists!$F$5:$F$9,MATCH(G106,Lists!$E$5:$E$9,0)),"")</f>
        <v>Alder Energy (fictional)</v>
      </c>
      <c r="I106" s="8" t="str">
        <f>IFERROR(INDEX(Lists!$G$5:$G$9,MATCH(G106,Lists!$E$5:$E$9,0)),"")</f>
        <v>Y</v>
      </c>
      <c r="J106" s="11">
        <v>4</v>
      </c>
      <c r="K106" s="12">
        <v>78</v>
      </c>
      <c r="L106" s="13">
        <f>IF(I106&lt;&gt;"Y","",IFERROR(INDEX(Lists!$L$5:$L$20,MATCH(D106&amp;"|"&amp;G106,Lists!$I$5:$I$20,0)),""))</f>
        <v>78</v>
      </c>
      <c r="M106" s="10" t="str">
        <f t="shared" si="8"/>
        <v>E009|20260924|P101</v>
      </c>
      <c r="N106" s="10" t="str">
        <f>IF(COUNTIFS($M$5:M106,M106)&gt;1,"DUPLICATE","")</f>
        <v/>
      </c>
      <c r="O106" s="10" t="str">
        <f t="shared" si="9"/>
        <v/>
      </c>
      <c r="P106" s="10" t="str">
        <f t="shared" si="10"/>
        <v/>
      </c>
      <c r="Q106" s="10" t="str">
        <f>IF(COUNTIF(Lists!$E$5:$E$9,G106)=0,"PROJECT?","")</f>
        <v/>
      </c>
      <c r="R106" s="10" t="str">
        <f t="shared" si="11"/>
        <v/>
      </c>
      <c r="S106" s="10" t="str">
        <f>IF(AND(I106="Y",N106="",COUNTIF(Billing_Data!$H$5:$H$319,M106)=0),"NOT BILLED","")</f>
        <v/>
      </c>
      <c r="T106" s="14">
        <f t="shared" si="12"/>
        <v>0</v>
      </c>
      <c r="U106" s="15">
        <f t="shared" si="13"/>
        <v>312</v>
      </c>
    </row>
    <row r="107" spans="1:21" x14ac:dyDescent="0.25">
      <c r="A107" s="7" t="s">
        <v>155</v>
      </c>
      <c r="B107" s="7" t="s">
        <v>147</v>
      </c>
      <c r="C107" s="8" t="str">
        <f>IFERROR(INDEX(Lists!$B$5:$B$34,MATCH(B107,Lists!$A$5:$A$34,0)),"")</f>
        <v>Rowan Ingram</v>
      </c>
      <c r="D107" s="8" t="str">
        <f>IFERROR(INDEX(Lists!$C$5:$C$34,MATCH(B107,Lists!$A$5:$A$34,0)),"")</f>
        <v>Project Coordinator</v>
      </c>
      <c r="E107" s="9">
        <v>46289</v>
      </c>
      <c r="F107" s="10" t="str">
        <f t="shared" si="7"/>
        <v>Thu</v>
      </c>
      <c r="G107" s="7" t="s">
        <v>50</v>
      </c>
      <c r="H107" s="8" t="str">
        <f>IFERROR(INDEX(Lists!$F$5:$F$9,MATCH(G107,Lists!$E$5:$E$9,0)),"")</f>
        <v>Cedar Industrial (fictional)</v>
      </c>
      <c r="I107" s="8" t="str">
        <f>IFERROR(INDEX(Lists!$G$5:$G$9,MATCH(G107,Lists!$E$5:$E$9,0)),"")</f>
        <v>Y</v>
      </c>
      <c r="J107" s="11">
        <v>4</v>
      </c>
      <c r="K107" s="12">
        <v>74</v>
      </c>
      <c r="L107" s="13">
        <f>IF(I107&lt;&gt;"Y","",IFERROR(INDEX(Lists!$L$5:$L$20,MATCH(D107&amp;"|"&amp;G107,Lists!$I$5:$I$20,0)),""))</f>
        <v>74</v>
      </c>
      <c r="M107" s="10" t="str">
        <f t="shared" si="8"/>
        <v>E009|20260924|P103</v>
      </c>
      <c r="N107" s="10" t="str">
        <f>IF(COUNTIFS($M$5:M107,M107)&gt;1,"DUPLICATE","")</f>
        <v/>
      </c>
      <c r="O107" s="10" t="str">
        <f t="shared" si="9"/>
        <v/>
      </c>
      <c r="P107" s="10" t="str">
        <f t="shared" si="10"/>
        <v/>
      </c>
      <c r="Q107" s="10" t="str">
        <f>IF(COUNTIF(Lists!$E$5:$E$9,G107)=0,"PROJECT?","")</f>
        <v/>
      </c>
      <c r="R107" s="10" t="str">
        <f t="shared" si="11"/>
        <v/>
      </c>
      <c r="S107" s="10" t="str">
        <f>IF(AND(I107="Y",N107="",COUNTIF(Billing_Data!$H$5:$H$319,M107)=0),"NOT BILLED","")</f>
        <v/>
      </c>
      <c r="T107" s="14">
        <f t="shared" si="12"/>
        <v>0</v>
      </c>
      <c r="U107" s="15">
        <f t="shared" si="13"/>
        <v>296</v>
      </c>
    </row>
    <row r="108" spans="1:21" x14ac:dyDescent="0.25">
      <c r="A108" s="7" t="s">
        <v>156</v>
      </c>
      <c r="B108" s="7" t="s">
        <v>147</v>
      </c>
      <c r="C108" s="8" t="str">
        <f>IFERROR(INDEX(Lists!$B$5:$B$34,MATCH(B108,Lists!$A$5:$A$34,0)),"")</f>
        <v>Rowan Ingram</v>
      </c>
      <c r="D108" s="8" t="str">
        <f>IFERROR(INDEX(Lists!$C$5:$C$34,MATCH(B108,Lists!$A$5:$A$34,0)),"")</f>
        <v>Project Coordinator</v>
      </c>
      <c r="E108" s="9">
        <v>46290</v>
      </c>
      <c r="F108" s="10" t="str">
        <f t="shared" si="7"/>
        <v>Fri</v>
      </c>
      <c r="G108" s="7" t="s">
        <v>41</v>
      </c>
      <c r="H108" s="8" t="str">
        <f>IFERROR(INDEX(Lists!$F$5:$F$9,MATCH(G108,Lists!$E$5:$E$9,0)),"")</f>
        <v>Alder Energy (fictional)</v>
      </c>
      <c r="I108" s="8" t="str">
        <f>IFERROR(INDEX(Lists!$G$5:$G$9,MATCH(G108,Lists!$E$5:$E$9,0)),"")</f>
        <v>Y</v>
      </c>
      <c r="J108" s="11">
        <v>8</v>
      </c>
      <c r="K108" s="12">
        <v>78</v>
      </c>
      <c r="L108" s="13">
        <f>IF(I108&lt;&gt;"Y","",IFERROR(INDEX(Lists!$L$5:$L$20,MATCH(D108&amp;"|"&amp;G108,Lists!$I$5:$I$20,0)),""))</f>
        <v>78</v>
      </c>
      <c r="M108" s="10" t="str">
        <f t="shared" si="8"/>
        <v>E009|20260925|P101</v>
      </c>
      <c r="N108" s="10" t="str">
        <f>IF(COUNTIFS($M$5:M108,M108)&gt;1,"DUPLICATE","")</f>
        <v/>
      </c>
      <c r="O108" s="10" t="str">
        <f t="shared" si="9"/>
        <v/>
      </c>
      <c r="P108" s="10" t="str">
        <f t="shared" si="10"/>
        <v/>
      </c>
      <c r="Q108" s="10" t="str">
        <f>IF(COUNTIF(Lists!$E$5:$E$9,G108)=0,"PROJECT?","")</f>
        <v/>
      </c>
      <c r="R108" s="10" t="str">
        <f t="shared" si="11"/>
        <v/>
      </c>
      <c r="S108" s="10" t="str">
        <f>IF(AND(I108="Y",N108="",COUNTIF(Billing_Data!$H$5:$H$319,M108)=0),"NOT BILLED","")</f>
        <v/>
      </c>
      <c r="T108" s="14">
        <f t="shared" si="12"/>
        <v>0</v>
      </c>
      <c r="U108" s="15">
        <f t="shared" si="13"/>
        <v>624</v>
      </c>
    </row>
    <row r="109" spans="1:21" x14ac:dyDescent="0.25">
      <c r="A109" s="7" t="s">
        <v>157</v>
      </c>
      <c r="B109" s="7" t="s">
        <v>158</v>
      </c>
      <c r="C109" s="8" t="str">
        <f>IFERROR(INDEX(Lists!$B$5:$B$34,MATCH(B109,Lists!$A$5:$A$34,0)),"")</f>
        <v>Sage Jarvis</v>
      </c>
      <c r="D109" s="8" t="str">
        <f>IFERROR(INDEX(Lists!$C$5:$C$34,MATCH(B109,Lists!$A$5:$A$34,0)),"")</f>
        <v>Estimator</v>
      </c>
      <c r="E109" s="9">
        <v>46279</v>
      </c>
      <c r="F109" s="10" t="str">
        <f t="shared" si="7"/>
        <v>Mon</v>
      </c>
      <c r="G109" s="7" t="s">
        <v>46</v>
      </c>
      <c r="H109" s="8" t="str">
        <f>IFERROR(INDEX(Lists!$F$5:$F$9,MATCH(G109,Lists!$E$5:$E$9,0)),"")</f>
        <v>Birchwood Midstream (fictional)</v>
      </c>
      <c r="I109" s="8" t="str">
        <f>IFERROR(INDEX(Lists!$G$5:$G$9,MATCH(G109,Lists!$E$5:$E$9,0)),"")</f>
        <v>Y</v>
      </c>
      <c r="J109" s="11">
        <v>8</v>
      </c>
      <c r="K109" s="12">
        <v>110</v>
      </c>
      <c r="L109" s="13">
        <f>IF(I109&lt;&gt;"Y","",IFERROR(INDEX(Lists!$L$5:$L$20,MATCH(D109&amp;"|"&amp;G109,Lists!$I$5:$I$20,0)),""))</f>
        <v>110</v>
      </c>
      <c r="M109" s="10" t="str">
        <f t="shared" si="8"/>
        <v>E010|20260914|P102</v>
      </c>
      <c r="N109" s="10" t="str">
        <f>IF(COUNTIFS($M$5:M109,M109)&gt;1,"DUPLICATE","")</f>
        <v/>
      </c>
      <c r="O109" s="10" t="str">
        <f t="shared" si="9"/>
        <v/>
      </c>
      <c r="P109" s="10" t="str">
        <f t="shared" si="10"/>
        <v/>
      </c>
      <c r="Q109" s="10" t="str">
        <f>IF(COUNTIF(Lists!$E$5:$E$9,G109)=0,"PROJECT?","")</f>
        <v/>
      </c>
      <c r="R109" s="10" t="str">
        <f t="shared" si="11"/>
        <v/>
      </c>
      <c r="S109" s="10" t="str">
        <f>IF(AND(I109="Y",N109="",COUNTIF(Billing_Data!$H$5:$H$319,M109)=0),"NOT BILLED","")</f>
        <v/>
      </c>
      <c r="T109" s="14">
        <f t="shared" si="12"/>
        <v>0</v>
      </c>
      <c r="U109" s="15">
        <f t="shared" si="13"/>
        <v>880</v>
      </c>
    </row>
    <row r="110" spans="1:21" x14ac:dyDescent="0.25">
      <c r="A110" s="7" t="s">
        <v>159</v>
      </c>
      <c r="B110" s="7" t="s">
        <v>158</v>
      </c>
      <c r="C110" s="8" t="str">
        <f>IFERROR(INDEX(Lists!$B$5:$B$34,MATCH(B110,Lists!$A$5:$A$34,0)),"")</f>
        <v>Sage Jarvis</v>
      </c>
      <c r="D110" s="8" t="str">
        <f>IFERROR(INDEX(Lists!$C$5:$C$34,MATCH(B110,Lists!$A$5:$A$34,0)),"")</f>
        <v>Estimator</v>
      </c>
      <c r="E110" s="9">
        <v>46280</v>
      </c>
      <c r="F110" s="10" t="str">
        <f t="shared" si="7"/>
        <v>Tue</v>
      </c>
      <c r="G110" s="7" t="s">
        <v>46</v>
      </c>
      <c r="H110" s="8" t="str">
        <f>IFERROR(INDEX(Lists!$F$5:$F$9,MATCH(G110,Lists!$E$5:$E$9,0)),"")</f>
        <v>Birchwood Midstream (fictional)</v>
      </c>
      <c r="I110" s="8" t="str">
        <f>IFERROR(INDEX(Lists!$G$5:$G$9,MATCH(G110,Lists!$E$5:$E$9,0)),"")</f>
        <v>Y</v>
      </c>
      <c r="J110" s="11">
        <v>8</v>
      </c>
      <c r="K110" s="12">
        <v>110</v>
      </c>
      <c r="L110" s="13">
        <f>IF(I110&lt;&gt;"Y","",IFERROR(INDEX(Lists!$L$5:$L$20,MATCH(D110&amp;"|"&amp;G110,Lists!$I$5:$I$20,0)),""))</f>
        <v>110</v>
      </c>
      <c r="M110" s="10" t="str">
        <f t="shared" si="8"/>
        <v>E010|20260915|P102</v>
      </c>
      <c r="N110" s="10" t="str">
        <f>IF(COUNTIFS($M$5:M110,M110)&gt;1,"DUPLICATE","")</f>
        <v/>
      </c>
      <c r="O110" s="10" t="str">
        <f t="shared" si="9"/>
        <v/>
      </c>
      <c r="P110" s="10" t="str">
        <f t="shared" si="10"/>
        <v/>
      </c>
      <c r="Q110" s="10" t="str">
        <f>IF(COUNTIF(Lists!$E$5:$E$9,G110)=0,"PROJECT?","")</f>
        <v/>
      </c>
      <c r="R110" s="10" t="str">
        <f t="shared" si="11"/>
        <v/>
      </c>
      <c r="S110" s="10" t="str">
        <f>IF(AND(I110="Y",N110="",COUNTIF(Billing_Data!$H$5:$H$319,M110)=0),"NOT BILLED","")</f>
        <v/>
      </c>
      <c r="T110" s="14">
        <f t="shared" si="12"/>
        <v>0</v>
      </c>
      <c r="U110" s="15">
        <f t="shared" si="13"/>
        <v>880</v>
      </c>
    </row>
    <row r="111" spans="1:21" x14ac:dyDescent="0.25">
      <c r="A111" s="7" t="s">
        <v>160</v>
      </c>
      <c r="B111" s="7" t="s">
        <v>158</v>
      </c>
      <c r="C111" s="8" t="str">
        <f>IFERROR(INDEX(Lists!$B$5:$B$34,MATCH(B111,Lists!$A$5:$A$34,0)),"")</f>
        <v>Sage Jarvis</v>
      </c>
      <c r="D111" s="8" t="str">
        <f>IFERROR(INDEX(Lists!$C$5:$C$34,MATCH(B111,Lists!$A$5:$A$34,0)),"")</f>
        <v>Estimator</v>
      </c>
      <c r="E111" s="9">
        <v>46281</v>
      </c>
      <c r="F111" s="10" t="str">
        <f t="shared" si="7"/>
        <v>Wed</v>
      </c>
      <c r="G111" s="7" t="s">
        <v>46</v>
      </c>
      <c r="H111" s="8" t="str">
        <f>IFERROR(INDEX(Lists!$F$5:$F$9,MATCH(G111,Lists!$E$5:$E$9,0)),"")</f>
        <v>Birchwood Midstream (fictional)</v>
      </c>
      <c r="I111" s="8" t="str">
        <f>IFERROR(INDEX(Lists!$G$5:$G$9,MATCH(G111,Lists!$E$5:$E$9,0)),"")</f>
        <v>Y</v>
      </c>
      <c r="J111" s="11">
        <v>8</v>
      </c>
      <c r="K111" s="12">
        <v>110</v>
      </c>
      <c r="L111" s="13">
        <f>IF(I111&lt;&gt;"Y","",IFERROR(INDEX(Lists!$L$5:$L$20,MATCH(D111&amp;"|"&amp;G111,Lists!$I$5:$I$20,0)),""))</f>
        <v>110</v>
      </c>
      <c r="M111" s="10" t="str">
        <f t="shared" si="8"/>
        <v>E010|20260916|P102</v>
      </c>
      <c r="N111" s="10" t="str">
        <f>IF(COUNTIFS($M$5:M111,M111)&gt;1,"DUPLICATE","")</f>
        <v/>
      </c>
      <c r="O111" s="10" t="str">
        <f t="shared" si="9"/>
        <v/>
      </c>
      <c r="P111" s="10" t="str">
        <f t="shared" si="10"/>
        <v/>
      </c>
      <c r="Q111" s="10" t="str">
        <f>IF(COUNTIF(Lists!$E$5:$E$9,G111)=0,"PROJECT?","")</f>
        <v/>
      </c>
      <c r="R111" s="10" t="str">
        <f t="shared" si="11"/>
        <v/>
      </c>
      <c r="S111" s="10" t="str">
        <f>IF(AND(I111="Y",N111="",COUNTIF(Billing_Data!$H$5:$H$319,M111)=0),"NOT BILLED","")</f>
        <v/>
      </c>
      <c r="T111" s="14">
        <f t="shared" si="12"/>
        <v>0</v>
      </c>
      <c r="U111" s="15">
        <f t="shared" si="13"/>
        <v>880</v>
      </c>
    </row>
    <row r="112" spans="1:21" x14ac:dyDescent="0.25">
      <c r="A112" s="7" t="s">
        <v>161</v>
      </c>
      <c r="B112" s="7" t="s">
        <v>158</v>
      </c>
      <c r="C112" s="8" t="str">
        <f>IFERROR(INDEX(Lists!$B$5:$B$34,MATCH(B112,Lists!$A$5:$A$34,0)),"")</f>
        <v>Sage Jarvis</v>
      </c>
      <c r="D112" s="8" t="str">
        <f>IFERROR(INDEX(Lists!$C$5:$C$34,MATCH(B112,Lists!$A$5:$A$34,0)),"")</f>
        <v>Estimator</v>
      </c>
      <c r="E112" s="9">
        <v>46282</v>
      </c>
      <c r="F112" s="10" t="str">
        <f t="shared" si="7"/>
        <v>Thu</v>
      </c>
      <c r="G112" s="7" t="s">
        <v>46</v>
      </c>
      <c r="H112" s="8" t="str">
        <f>IFERROR(INDEX(Lists!$F$5:$F$9,MATCH(G112,Lists!$E$5:$E$9,0)),"")</f>
        <v>Birchwood Midstream (fictional)</v>
      </c>
      <c r="I112" s="8" t="str">
        <f>IFERROR(INDEX(Lists!$G$5:$G$9,MATCH(G112,Lists!$E$5:$E$9,0)),"")</f>
        <v>Y</v>
      </c>
      <c r="J112" s="11">
        <v>8</v>
      </c>
      <c r="K112" s="12">
        <v>110</v>
      </c>
      <c r="L112" s="13">
        <f>IF(I112&lt;&gt;"Y","",IFERROR(INDEX(Lists!$L$5:$L$20,MATCH(D112&amp;"|"&amp;G112,Lists!$I$5:$I$20,0)),""))</f>
        <v>110</v>
      </c>
      <c r="M112" s="10" t="str">
        <f t="shared" si="8"/>
        <v>E010|20260917|P102</v>
      </c>
      <c r="N112" s="10" t="str">
        <f>IF(COUNTIFS($M$5:M112,M112)&gt;1,"DUPLICATE","")</f>
        <v/>
      </c>
      <c r="O112" s="10" t="str">
        <f t="shared" si="9"/>
        <v/>
      </c>
      <c r="P112" s="10" t="str">
        <f t="shared" si="10"/>
        <v/>
      </c>
      <c r="Q112" s="10" t="str">
        <f>IF(COUNTIF(Lists!$E$5:$E$9,G112)=0,"PROJECT?","")</f>
        <v/>
      </c>
      <c r="R112" s="10" t="str">
        <f t="shared" si="11"/>
        <v/>
      </c>
      <c r="S112" s="10" t="str">
        <f>IF(AND(I112="Y",N112="",COUNTIF(Billing_Data!$H$5:$H$319,M112)=0),"NOT BILLED","")</f>
        <v/>
      </c>
      <c r="T112" s="14">
        <f t="shared" si="12"/>
        <v>0</v>
      </c>
      <c r="U112" s="15">
        <f t="shared" si="13"/>
        <v>880</v>
      </c>
    </row>
    <row r="113" spans="1:21" x14ac:dyDescent="0.25">
      <c r="A113" s="7" t="s">
        <v>162</v>
      </c>
      <c r="B113" s="7" t="s">
        <v>158</v>
      </c>
      <c r="C113" s="8" t="str">
        <f>IFERROR(INDEX(Lists!$B$5:$B$34,MATCH(B113,Lists!$A$5:$A$34,0)),"")</f>
        <v>Sage Jarvis</v>
      </c>
      <c r="D113" s="8" t="str">
        <f>IFERROR(INDEX(Lists!$C$5:$C$34,MATCH(B113,Lists!$A$5:$A$34,0)),"")</f>
        <v>Estimator</v>
      </c>
      <c r="E113" s="9">
        <v>46283</v>
      </c>
      <c r="F113" s="10" t="str">
        <f t="shared" si="7"/>
        <v>Fri</v>
      </c>
      <c r="G113" s="7" t="s">
        <v>46</v>
      </c>
      <c r="H113" s="8" t="str">
        <f>IFERROR(INDEX(Lists!$F$5:$F$9,MATCH(G113,Lists!$E$5:$E$9,0)),"")</f>
        <v>Birchwood Midstream (fictional)</v>
      </c>
      <c r="I113" s="8" t="str">
        <f>IFERROR(INDEX(Lists!$G$5:$G$9,MATCH(G113,Lists!$E$5:$E$9,0)),"")</f>
        <v>Y</v>
      </c>
      <c r="J113" s="11">
        <v>4</v>
      </c>
      <c r="K113" s="12">
        <v>110</v>
      </c>
      <c r="L113" s="13">
        <f>IF(I113&lt;&gt;"Y","",IFERROR(INDEX(Lists!$L$5:$L$20,MATCH(D113&amp;"|"&amp;G113,Lists!$I$5:$I$20,0)),""))</f>
        <v>110</v>
      </c>
      <c r="M113" s="10" t="str">
        <f t="shared" si="8"/>
        <v>E010|20260918|P102</v>
      </c>
      <c r="N113" s="10" t="str">
        <f>IF(COUNTIFS($M$5:M113,M113)&gt;1,"DUPLICATE","")</f>
        <v/>
      </c>
      <c r="O113" s="10" t="str">
        <f t="shared" si="9"/>
        <v/>
      </c>
      <c r="P113" s="10" t="str">
        <f t="shared" si="10"/>
        <v/>
      </c>
      <c r="Q113" s="10" t="str">
        <f>IF(COUNTIF(Lists!$E$5:$E$9,G113)=0,"PROJECT?","")</f>
        <v/>
      </c>
      <c r="R113" s="10" t="str">
        <f t="shared" si="11"/>
        <v/>
      </c>
      <c r="S113" s="10" t="str">
        <f>IF(AND(I113="Y",N113="",COUNTIF(Billing_Data!$H$5:$H$319,M113)=0),"NOT BILLED","")</f>
        <v/>
      </c>
      <c r="T113" s="14">
        <f t="shared" si="12"/>
        <v>0</v>
      </c>
      <c r="U113" s="15">
        <f t="shared" si="13"/>
        <v>440</v>
      </c>
    </row>
    <row r="114" spans="1:21" x14ac:dyDescent="0.25">
      <c r="A114" s="7" t="s">
        <v>163</v>
      </c>
      <c r="B114" s="7" t="s">
        <v>158</v>
      </c>
      <c r="C114" s="8" t="str">
        <f>IFERROR(INDEX(Lists!$B$5:$B$34,MATCH(B114,Lists!$A$5:$A$34,0)),"")</f>
        <v>Sage Jarvis</v>
      </c>
      <c r="D114" s="8" t="str">
        <f>IFERROR(INDEX(Lists!$C$5:$C$34,MATCH(B114,Lists!$A$5:$A$34,0)),"")</f>
        <v>Estimator</v>
      </c>
      <c r="E114" s="9">
        <v>46283</v>
      </c>
      <c r="F114" s="10" t="str">
        <f t="shared" si="7"/>
        <v>Fri</v>
      </c>
      <c r="G114" s="7" t="s">
        <v>53</v>
      </c>
      <c r="H114" s="8" t="str">
        <f>IFERROR(INDEX(Lists!$F$5:$F$9,MATCH(G114,Lists!$E$5:$E$9,0)),"")</f>
        <v>Internal / non-billable</v>
      </c>
      <c r="I114" s="8" t="str">
        <f>IFERROR(INDEX(Lists!$G$5:$G$9,MATCH(G114,Lists!$E$5:$E$9,0)),"")</f>
        <v>N</v>
      </c>
      <c r="J114" s="11">
        <v>4</v>
      </c>
      <c r="K114" s="12">
        <v>0</v>
      </c>
      <c r="L114" s="13" t="str">
        <f>IF(I114&lt;&gt;"Y","",IFERROR(INDEX(Lists!$L$5:$L$20,MATCH(D114&amp;"|"&amp;G114,Lists!$I$5:$I$20,0)),""))</f>
        <v/>
      </c>
      <c r="M114" s="10" t="str">
        <f t="shared" si="8"/>
        <v>E010|20260918|INT-001</v>
      </c>
      <c r="N114" s="10" t="str">
        <f>IF(COUNTIFS($M$5:M114,M114)&gt;1,"DUPLICATE","")</f>
        <v/>
      </c>
      <c r="O114" s="10" t="str">
        <f t="shared" si="9"/>
        <v/>
      </c>
      <c r="P114" s="10" t="str">
        <f t="shared" si="10"/>
        <v/>
      </c>
      <c r="Q114" s="10" t="str">
        <f>IF(COUNTIF(Lists!$E$5:$E$9,G114)=0,"PROJECT?","")</f>
        <v/>
      </c>
      <c r="R114" s="10" t="str">
        <f t="shared" si="11"/>
        <v/>
      </c>
      <c r="S114" s="10" t="str">
        <f>IF(AND(I114="Y",N114="",COUNTIF(Billing_Data!$H$5:$H$319,M114)=0),"NOT BILLED","")</f>
        <v/>
      </c>
      <c r="T114" s="14">
        <f t="shared" si="12"/>
        <v>0</v>
      </c>
      <c r="U114" s="15">
        <f t="shared" si="13"/>
        <v>0</v>
      </c>
    </row>
    <row r="115" spans="1:21" x14ac:dyDescent="0.25">
      <c r="A115" s="7" t="s">
        <v>164</v>
      </c>
      <c r="B115" s="7" t="s">
        <v>158</v>
      </c>
      <c r="C115" s="8" t="str">
        <f>IFERROR(INDEX(Lists!$B$5:$B$34,MATCH(B115,Lists!$A$5:$A$34,0)),"")</f>
        <v>Sage Jarvis</v>
      </c>
      <c r="D115" s="8" t="str">
        <f>IFERROR(INDEX(Lists!$C$5:$C$34,MATCH(B115,Lists!$A$5:$A$34,0)),"")</f>
        <v>Estimator</v>
      </c>
      <c r="E115" s="9">
        <v>46286</v>
      </c>
      <c r="F115" s="10" t="str">
        <f t="shared" si="7"/>
        <v>Mon</v>
      </c>
      <c r="G115" s="7" t="s">
        <v>46</v>
      </c>
      <c r="H115" s="8" t="str">
        <f>IFERROR(INDEX(Lists!$F$5:$F$9,MATCH(G115,Lists!$E$5:$E$9,0)),"")</f>
        <v>Birchwood Midstream (fictional)</v>
      </c>
      <c r="I115" s="8" t="str">
        <f>IFERROR(INDEX(Lists!$G$5:$G$9,MATCH(G115,Lists!$E$5:$E$9,0)),"")</f>
        <v>Y</v>
      </c>
      <c r="J115" s="11">
        <v>8</v>
      </c>
      <c r="K115" s="12">
        <v>110</v>
      </c>
      <c r="L115" s="13">
        <f>IF(I115&lt;&gt;"Y","",IFERROR(INDEX(Lists!$L$5:$L$20,MATCH(D115&amp;"|"&amp;G115,Lists!$I$5:$I$20,0)),""))</f>
        <v>110</v>
      </c>
      <c r="M115" s="10" t="str">
        <f t="shared" si="8"/>
        <v>E010|20260921|P102</v>
      </c>
      <c r="N115" s="10" t="str">
        <f>IF(COUNTIFS($M$5:M115,M115)&gt;1,"DUPLICATE","")</f>
        <v/>
      </c>
      <c r="O115" s="10" t="str">
        <f t="shared" si="9"/>
        <v/>
      </c>
      <c r="P115" s="10" t="str">
        <f t="shared" si="10"/>
        <v/>
      </c>
      <c r="Q115" s="10" t="str">
        <f>IF(COUNTIF(Lists!$E$5:$E$9,G115)=0,"PROJECT?","")</f>
        <v/>
      </c>
      <c r="R115" s="10" t="str">
        <f t="shared" si="11"/>
        <v/>
      </c>
      <c r="S115" s="10" t="str">
        <f>IF(AND(I115="Y",N115="",COUNTIF(Billing_Data!$H$5:$H$319,M115)=0),"NOT BILLED","")</f>
        <v/>
      </c>
      <c r="T115" s="14">
        <f t="shared" si="12"/>
        <v>0</v>
      </c>
      <c r="U115" s="15">
        <f t="shared" si="13"/>
        <v>880</v>
      </c>
    </row>
    <row r="116" spans="1:21" x14ac:dyDescent="0.25">
      <c r="A116" s="7" t="s">
        <v>165</v>
      </c>
      <c r="B116" s="7" t="s">
        <v>158</v>
      </c>
      <c r="C116" s="8" t="str">
        <f>IFERROR(INDEX(Lists!$B$5:$B$34,MATCH(B116,Lists!$A$5:$A$34,0)),"")</f>
        <v>Sage Jarvis</v>
      </c>
      <c r="D116" s="8" t="str">
        <f>IFERROR(INDEX(Lists!$C$5:$C$34,MATCH(B116,Lists!$A$5:$A$34,0)),"")</f>
        <v>Estimator</v>
      </c>
      <c r="E116" s="9">
        <v>46287</v>
      </c>
      <c r="F116" s="10" t="str">
        <f t="shared" si="7"/>
        <v>Tue</v>
      </c>
      <c r="G116" s="7" t="s">
        <v>46</v>
      </c>
      <c r="H116" s="8" t="str">
        <f>IFERROR(INDEX(Lists!$F$5:$F$9,MATCH(G116,Lists!$E$5:$E$9,0)),"")</f>
        <v>Birchwood Midstream (fictional)</v>
      </c>
      <c r="I116" s="8" t="str">
        <f>IFERROR(INDEX(Lists!$G$5:$G$9,MATCH(G116,Lists!$E$5:$E$9,0)),"")</f>
        <v>Y</v>
      </c>
      <c r="J116" s="11">
        <v>8</v>
      </c>
      <c r="K116" s="12">
        <v>110</v>
      </c>
      <c r="L116" s="13">
        <f>IF(I116&lt;&gt;"Y","",IFERROR(INDEX(Lists!$L$5:$L$20,MATCH(D116&amp;"|"&amp;G116,Lists!$I$5:$I$20,0)),""))</f>
        <v>110</v>
      </c>
      <c r="M116" s="10" t="str">
        <f t="shared" si="8"/>
        <v>E010|20260922|P102</v>
      </c>
      <c r="N116" s="10" t="str">
        <f>IF(COUNTIFS($M$5:M116,M116)&gt;1,"DUPLICATE","")</f>
        <v/>
      </c>
      <c r="O116" s="10" t="str">
        <f t="shared" si="9"/>
        <v/>
      </c>
      <c r="P116" s="10" t="str">
        <f t="shared" si="10"/>
        <v/>
      </c>
      <c r="Q116" s="10" t="str">
        <f>IF(COUNTIF(Lists!$E$5:$E$9,G116)=0,"PROJECT?","")</f>
        <v/>
      </c>
      <c r="R116" s="10" t="str">
        <f t="shared" si="11"/>
        <v/>
      </c>
      <c r="S116" s="10" t="str">
        <f>IF(AND(I116="Y",N116="",COUNTIF(Billing_Data!$H$5:$H$319,M116)=0),"NOT BILLED","")</f>
        <v/>
      </c>
      <c r="T116" s="14">
        <f t="shared" si="12"/>
        <v>0</v>
      </c>
      <c r="U116" s="15">
        <f t="shared" si="13"/>
        <v>880</v>
      </c>
    </row>
    <row r="117" spans="1:21" x14ac:dyDescent="0.25">
      <c r="A117" s="7" t="s">
        <v>166</v>
      </c>
      <c r="B117" s="7" t="s">
        <v>158</v>
      </c>
      <c r="C117" s="8" t="str">
        <f>IFERROR(INDEX(Lists!$B$5:$B$34,MATCH(B117,Lists!$A$5:$A$34,0)),"")</f>
        <v>Sage Jarvis</v>
      </c>
      <c r="D117" s="8" t="str">
        <f>IFERROR(INDEX(Lists!$C$5:$C$34,MATCH(B117,Lists!$A$5:$A$34,0)),"")</f>
        <v>Estimator</v>
      </c>
      <c r="E117" s="9">
        <v>46288</v>
      </c>
      <c r="F117" s="10" t="str">
        <f t="shared" si="7"/>
        <v>Wed</v>
      </c>
      <c r="G117" s="7" t="s">
        <v>46</v>
      </c>
      <c r="H117" s="8" t="str">
        <f>IFERROR(INDEX(Lists!$F$5:$F$9,MATCH(G117,Lists!$E$5:$E$9,0)),"")</f>
        <v>Birchwood Midstream (fictional)</v>
      </c>
      <c r="I117" s="8" t="str">
        <f>IFERROR(INDEX(Lists!$G$5:$G$9,MATCH(G117,Lists!$E$5:$E$9,0)),"")</f>
        <v>Y</v>
      </c>
      <c r="J117" s="11">
        <v>8</v>
      </c>
      <c r="K117" s="12">
        <v>105</v>
      </c>
      <c r="L117" s="13">
        <f>IF(I117&lt;&gt;"Y","",IFERROR(INDEX(Lists!$L$5:$L$20,MATCH(D117&amp;"|"&amp;G117,Lists!$I$5:$I$20,0)),""))</f>
        <v>110</v>
      </c>
      <c r="M117" s="10" t="str">
        <f t="shared" si="8"/>
        <v>E010|20260923|P102</v>
      </c>
      <c r="N117" s="10" t="str">
        <f>IF(COUNTIFS($M$5:M117,M117)&gt;1,"DUPLICATE","")</f>
        <v/>
      </c>
      <c r="O117" s="10" t="str">
        <f t="shared" si="9"/>
        <v/>
      </c>
      <c r="P117" s="10" t="str">
        <f t="shared" si="10"/>
        <v/>
      </c>
      <c r="Q117" s="10" t="str">
        <f>IF(COUNTIF(Lists!$E$5:$E$9,G117)=0,"PROJECT?","")</f>
        <v/>
      </c>
      <c r="R117" s="10" t="str">
        <f t="shared" si="11"/>
        <v>RATE</v>
      </c>
      <c r="S117" s="10" t="str">
        <f>IF(AND(I117="Y",N117="",COUNTIF(Billing_Data!$H$5:$H$319,M117)=0),"NOT BILLED","")</f>
        <v/>
      </c>
      <c r="T117" s="14">
        <f t="shared" si="12"/>
        <v>1</v>
      </c>
      <c r="U117" s="15">
        <f t="shared" si="13"/>
        <v>880</v>
      </c>
    </row>
    <row r="118" spans="1:21" x14ac:dyDescent="0.25">
      <c r="A118" s="7" t="s">
        <v>167</v>
      </c>
      <c r="B118" s="7" t="s">
        <v>158</v>
      </c>
      <c r="C118" s="8" t="str">
        <f>IFERROR(INDEX(Lists!$B$5:$B$34,MATCH(B118,Lists!$A$5:$A$34,0)),"")</f>
        <v>Sage Jarvis</v>
      </c>
      <c r="D118" s="8" t="str">
        <f>IFERROR(INDEX(Lists!$C$5:$C$34,MATCH(B118,Lists!$A$5:$A$34,0)),"")</f>
        <v>Estimator</v>
      </c>
      <c r="E118" s="9">
        <v>46289</v>
      </c>
      <c r="F118" s="10" t="str">
        <f t="shared" si="7"/>
        <v>Thu</v>
      </c>
      <c r="G118" s="7" t="s">
        <v>46</v>
      </c>
      <c r="H118" s="8" t="str">
        <f>IFERROR(INDEX(Lists!$F$5:$F$9,MATCH(G118,Lists!$E$5:$E$9,0)),"")</f>
        <v>Birchwood Midstream (fictional)</v>
      </c>
      <c r="I118" s="8" t="str">
        <f>IFERROR(INDEX(Lists!$G$5:$G$9,MATCH(G118,Lists!$E$5:$E$9,0)),"")</f>
        <v>Y</v>
      </c>
      <c r="J118" s="11">
        <v>8</v>
      </c>
      <c r="K118" s="12">
        <v>110</v>
      </c>
      <c r="L118" s="13">
        <f>IF(I118&lt;&gt;"Y","",IFERROR(INDEX(Lists!$L$5:$L$20,MATCH(D118&amp;"|"&amp;G118,Lists!$I$5:$I$20,0)),""))</f>
        <v>110</v>
      </c>
      <c r="M118" s="10" t="str">
        <f t="shared" si="8"/>
        <v>E010|20260924|P102</v>
      </c>
      <c r="N118" s="10" t="str">
        <f>IF(COUNTIFS($M$5:M118,M118)&gt;1,"DUPLICATE","")</f>
        <v/>
      </c>
      <c r="O118" s="10" t="str">
        <f t="shared" si="9"/>
        <v/>
      </c>
      <c r="P118" s="10" t="str">
        <f t="shared" si="10"/>
        <v/>
      </c>
      <c r="Q118" s="10" t="str">
        <f>IF(COUNTIF(Lists!$E$5:$E$9,G118)=0,"PROJECT?","")</f>
        <v/>
      </c>
      <c r="R118" s="10" t="str">
        <f t="shared" si="11"/>
        <v/>
      </c>
      <c r="S118" s="10" t="str">
        <f>IF(AND(I118="Y",N118="",COUNTIF(Billing_Data!$H$5:$H$319,M118)=0),"NOT BILLED","")</f>
        <v/>
      </c>
      <c r="T118" s="14">
        <f t="shared" si="12"/>
        <v>0</v>
      </c>
      <c r="U118" s="15">
        <f t="shared" si="13"/>
        <v>880</v>
      </c>
    </row>
    <row r="119" spans="1:21" x14ac:dyDescent="0.25">
      <c r="A119" s="7" t="s">
        <v>168</v>
      </c>
      <c r="B119" s="7" t="s">
        <v>158</v>
      </c>
      <c r="C119" s="8" t="str">
        <f>IFERROR(INDEX(Lists!$B$5:$B$34,MATCH(B119,Lists!$A$5:$A$34,0)),"")</f>
        <v>Sage Jarvis</v>
      </c>
      <c r="D119" s="8" t="str">
        <f>IFERROR(INDEX(Lists!$C$5:$C$34,MATCH(B119,Lists!$A$5:$A$34,0)),"")</f>
        <v>Estimator</v>
      </c>
      <c r="E119" s="9">
        <v>46290</v>
      </c>
      <c r="F119" s="10" t="str">
        <f t="shared" si="7"/>
        <v>Fri</v>
      </c>
      <c r="G119" s="7" t="s">
        <v>46</v>
      </c>
      <c r="H119" s="8" t="str">
        <f>IFERROR(INDEX(Lists!$F$5:$F$9,MATCH(G119,Lists!$E$5:$E$9,0)),"")</f>
        <v>Birchwood Midstream (fictional)</v>
      </c>
      <c r="I119" s="8" t="str">
        <f>IFERROR(INDEX(Lists!$G$5:$G$9,MATCH(G119,Lists!$E$5:$E$9,0)),"")</f>
        <v>Y</v>
      </c>
      <c r="J119" s="11">
        <v>8</v>
      </c>
      <c r="K119" s="12">
        <v>110</v>
      </c>
      <c r="L119" s="13">
        <f>IF(I119&lt;&gt;"Y","",IFERROR(INDEX(Lists!$L$5:$L$20,MATCH(D119&amp;"|"&amp;G119,Lists!$I$5:$I$20,0)),""))</f>
        <v>110</v>
      </c>
      <c r="M119" s="10" t="str">
        <f t="shared" si="8"/>
        <v>E010|20260925|P102</v>
      </c>
      <c r="N119" s="10" t="str">
        <f>IF(COUNTIFS($M$5:M119,M119)&gt;1,"DUPLICATE","")</f>
        <v/>
      </c>
      <c r="O119" s="10" t="str">
        <f t="shared" si="9"/>
        <v/>
      </c>
      <c r="P119" s="10" t="str">
        <f t="shared" si="10"/>
        <v/>
      </c>
      <c r="Q119" s="10" t="str">
        <f>IF(COUNTIF(Lists!$E$5:$E$9,G119)=0,"PROJECT?","")</f>
        <v/>
      </c>
      <c r="R119" s="10" t="str">
        <f t="shared" si="11"/>
        <v/>
      </c>
      <c r="S119" s="10" t="str">
        <f>IF(AND(I119="Y",N119="",COUNTIF(Billing_Data!$H$5:$H$319,M119)=0),"NOT BILLED","")</f>
        <v/>
      </c>
      <c r="T119" s="14">
        <f t="shared" si="12"/>
        <v>0</v>
      </c>
      <c r="U119" s="15">
        <f t="shared" si="13"/>
        <v>880</v>
      </c>
    </row>
    <row r="120" spans="1:21" x14ac:dyDescent="0.25">
      <c r="A120" s="7" t="s">
        <v>169</v>
      </c>
      <c r="B120" s="7" t="s">
        <v>170</v>
      </c>
      <c r="C120" s="8" t="str">
        <f>IFERROR(INDEX(Lists!$B$5:$B$34,MATCH(B120,Lists!$A$5:$A$34,0)),"")</f>
        <v>Devon Kessler</v>
      </c>
      <c r="D120" s="8" t="str">
        <f>IFERROR(INDEX(Lists!$C$5:$C$34,MATCH(B120,Lists!$A$5:$A$34,0)),"")</f>
        <v>Estimator</v>
      </c>
      <c r="E120" s="9">
        <v>46279</v>
      </c>
      <c r="F120" s="10" t="str">
        <f t="shared" si="7"/>
        <v>Mon</v>
      </c>
      <c r="G120" s="7" t="s">
        <v>50</v>
      </c>
      <c r="H120" s="8" t="str">
        <f>IFERROR(INDEX(Lists!$F$5:$F$9,MATCH(G120,Lists!$E$5:$E$9,0)),"")</f>
        <v>Cedar Industrial (fictional)</v>
      </c>
      <c r="I120" s="8" t="str">
        <f>IFERROR(INDEX(Lists!$G$5:$G$9,MATCH(G120,Lists!$E$5:$E$9,0)),"")</f>
        <v>Y</v>
      </c>
      <c r="J120" s="11">
        <v>8</v>
      </c>
      <c r="K120" s="12">
        <v>100</v>
      </c>
      <c r="L120" s="13">
        <f>IF(I120&lt;&gt;"Y","",IFERROR(INDEX(Lists!$L$5:$L$20,MATCH(D120&amp;"|"&amp;G120,Lists!$I$5:$I$20,0)),""))</f>
        <v>100</v>
      </c>
      <c r="M120" s="10" t="str">
        <f t="shared" si="8"/>
        <v>E011|20260914|P103</v>
      </c>
      <c r="N120" s="10" t="str">
        <f>IF(COUNTIFS($M$5:M120,M120)&gt;1,"DUPLICATE","")</f>
        <v/>
      </c>
      <c r="O120" s="10" t="str">
        <f t="shared" si="9"/>
        <v/>
      </c>
      <c r="P120" s="10" t="str">
        <f t="shared" si="10"/>
        <v/>
      </c>
      <c r="Q120" s="10" t="str">
        <f>IF(COUNTIF(Lists!$E$5:$E$9,G120)=0,"PROJECT?","")</f>
        <v/>
      </c>
      <c r="R120" s="10" t="str">
        <f t="shared" si="11"/>
        <v/>
      </c>
      <c r="S120" s="10" t="str">
        <f>IF(AND(I120="Y",N120="",COUNTIF(Billing_Data!$H$5:$H$319,M120)=0),"NOT BILLED","")</f>
        <v/>
      </c>
      <c r="T120" s="14">
        <f t="shared" si="12"/>
        <v>0</v>
      </c>
      <c r="U120" s="15">
        <f t="shared" si="13"/>
        <v>800</v>
      </c>
    </row>
    <row r="121" spans="1:21" x14ac:dyDescent="0.25">
      <c r="A121" s="7" t="s">
        <v>171</v>
      </c>
      <c r="B121" s="7" t="s">
        <v>170</v>
      </c>
      <c r="C121" s="8" t="str">
        <f>IFERROR(INDEX(Lists!$B$5:$B$34,MATCH(B121,Lists!$A$5:$A$34,0)),"")</f>
        <v>Devon Kessler</v>
      </c>
      <c r="D121" s="8" t="str">
        <f>IFERROR(INDEX(Lists!$C$5:$C$34,MATCH(B121,Lists!$A$5:$A$34,0)),"")</f>
        <v>Estimator</v>
      </c>
      <c r="E121" s="9">
        <v>46280</v>
      </c>
      <c r="F121" s="10" t="str">
        <f t="shared" si="7"/>
        <v>Tue</v>
      </c>
      <c r="G121" s="7" t="s">
        <v>50</v>
      </c>
      <c r="H121" s="8" t="str">
        <f>IFERROR(INDEX(Lists!$F$5:$F$9,MATCH(G121,Lists!$E$5:$E$9,0)),"")</f>
        <v>Cedar Industrial (fictional)</v>
      </c>
      <c r="I121" s="8" t="str">
        <f>IFERROR(INDEX(Lists!$G$5:$G$9,MATCH(G121,Lists!$E$5:$E$9,0)),"")</f>
        <v>Y</v>
      </c>
      <c r="J121" s="11">
        <v>8</v>
      </c>
      <c r="K121" s="12">
        <v>100</v>
      </c>
      <c r="L121" s="13">
        <f>IF(I121&lt;&gt;"Y","",IFERROR(INDEX(Lists!$L$5:$L$20,MATCH(D121&amp;"|"&amp;G121,Lists!$I$5:$I$20,0)),""))</f>
        <v>100</v>
      </c>
      <c r="M121" s="10" t="str">
        <f t="shared" si="8"/>
        <v>E011|20260915|P103</v>
      </c>
      <c r="N121" s="10" t="str">
        <f>IF(COUNTIFS($M$5:M121,M121)&gt;1,"DUPLICATE","")</f>
        <v/>
      </c>
      <c r="O121" s="10" t="str">
        <f t="shared" si="9"/>
        <v/>
      </c>
      <c r="P121" s="10" t="str">
        <f t="shared" si="10"/>
        <v/>
      </c>
      <c r="Q121" s="10" t="str">
        <f>IF(COUNTIF(Lists!$E$5:$E$9,G121)=0,"PROJECT?","")</f>
        <v/>
      </c>
      <c r="R121" s="10" t="str">
        <f t="shared" si="11"/>
        <v/>
      </c>
      <c r="S121" s="10" t="str">
        <f>IF(AND(I121="Y",N121="",COUNTIF(Billing_Data!$H$5:$H$319,M121)=0),"NOT BILLED","")</f>
        <v/>
      </c>
      <c r="T121" s="14">
        <f t="shared" si="12"/>
        <v>0</v>
      </c>
      <c r="U121" s="15">
        <f t="shared" si="13"/>
        <v>800</v>
      </c>
    </row>
    <row r="122" spans="1:21" x14ac:dyDescent="0.25">
      <c r="A122" s="7" t="s">
        <v>172</v>
      </c>
      <c r="B122" s="7" t="s">
        <v>170</v>
      </c>
      <c r="C122" s="8" t="str">
        <f>IFERROR(INDEX(Lists!$B$5:$B$34,MATCH(B122,Lists!$A$5:$A$34,0)),"")</f>
        <v>Devon Kessler</v>
      </c>
      <c r="D122" s="8" t="str">
        <f>IFERROR(INDEX(Lists!$C$5:$C$34,MATCH(B122,Lists!$A$5:$A$34,0)),"")</f>
        <v>Estimator</v>
      </c>
      <c r="E122" s="9">
        <v>46281</v>
      </c>
      <c r="F122" s="10" t="str">
        <f t="shared" si="7"/>
        <v>Wed</v>
      </c>
      <c r="G122" s="7" t="s">
        <v>50</v>
      </c>
      <c r="H122" s="8" t="str">
        <f>IFERROR(INDEX(Lists!$F$5:$F$9,MATCH(G122,Lists!$E$5:$E$9,0)),"")</f>
        <v>Cedar Industrial (fictional)</v>
      </c>
      <c r="I122" s="8" t="str">
        <f>IFERROR(INDEX(Lists!$G$5:$G$9,MATCH(G122,Lists!$E$5:$E$9,0)),"")</f>
        <v>Y</v>
      </c>
      <c r="J122" s="11">
        <v>8</v>
      </c>
      <c r="K122" s="12">
        <v>100</v>
      </c>
      <c r="L122" s="13">
        <f>IF(I122&lt;&gt;"Y","",IFERROR(INDEX(Lists!$L$5:$L$20,MATCH(D122&amp;"|"&amp;G122,Lists!$I$5:$I$20,0)),""))</f>
        <v>100</v>
      </c>
      <c r="M122" s="10" t="str">
        <f t="shared" si="8"/>
        <v>E011|20260916|P103</v>
      </c>
      <c r="N122" s="10" t="str">
        <f>IF(COUNTIFS($M$5:M122,M122)&gt;1,"DUPLICATE","")</f>
        <v/>
      </c>
      <c r="O122" s="10" t="str">
        <f t="shared" si="9"/>
        <v/>
      </c>
      <c r="P122" s="10" t="str">
        <f t="shared" si="10"/>
        <v/>
      </c>
      <c r="Q122" s="10" t="str">
        <f>IF(COUNTIF(Lists!$E$5:$E$9,G122)=0,"PROJECT?","")</f>
        <v/>
      </c>
      <c r="R122" s="10" t="str">
        <f t="shared" si="11"/>
        <v/>
      </c>
      <c r="S122" s="10" t="str">
        <f>IF(AND(I122="Y",N122="",COUNTIF(Billing_Data!$H$5:$H$319,M122)=0),"NOT BILLED","")</f>
        <v/>
      </c>
      <c r="T122" s="14">
        <f t="shared" si="12"/>
        <v>0</v>
      </c>
      <c r="U122" s="15">
        <f t="shared" si="13"/>
        <v>800</v>
      </c>
    </row>
    <row r="123" spans="1:21" x14ac:dyDescent="0.25">
      <c r="A123" s="7" t="s">
        <v>173</v>
      </c>
      <c r="B123" s="7" t="s">
        <v>170</v>
      </c>
      <c r="C123" s="8" t="str">
        <f>IFERROR(INDEX(Lists!$B$5:$B$34,MATCH(B123,Lists!$A$5:$A$34,0)),"")</f>
        <v>Devon Kessler</v>
      </c>
      <c r="D123" s="8" t="str">
        <f>IFERROR(INDEX(Lists!$C$5:$C$34,MATCH(B123,Lists!$A$5:$A$34,0)),"")</f>
        <v>Estimator</v>
      </c>
      <c r="E123" s="9">
        <v>46282</v>
      </c>
      <c r="F123" s="10" t="str">
        <f t="shared" si="7"/>
        <v>Thu</v>
      </c>
      <c r="G123" s="7" t="s">
        <v>50</v>
      </c>
      <c r="H123" s="8" t="str">
        <f>IFERROR(INDEX(Lists!$F$5:$F$9,MATCH(G123,Lists!$E$5:$E$9,0)),"")</f>
        <v>Cedar Industrial (fictional)</v>
      </c>
      <c r="I123" s="8" t="str">
        <f>IFERROR(INDEX(Lists!$G$5:$G$9,MATCH(G123,Lists!$E$5:$E$9,0)),"")</f>
        <v>Y</v>
      </c>
      <c r="J123" s="11">
        <v>8</v>
      </c>
      <c r="K123" s="12">
        <v>100</v>
      </c>
      <c r="L123" s="13">
        <f>IF(I123&lt;&gt;"Y","",IFERROR(INDEX(Lists!$L$5:$L$20,MATCH(D123&amp;"|"&amp;G123,Lists!$I$5:$I$20,0)),""))</f>
        <v>100</v>
      </c>
      <c r="M123" s="10" t="str">
        <f t="shared" si="8"/>
        <v>E011|20260917|P103</v>
      </c>
      <c r="N123" s="10" t="str">
        <f>IF(COUNTIFS($M$5:M123,M123)&gt;1,"DUPLICATE","")</f>
        <v/>
      </c>
      <c r="O123" s="10" t="str">
        <f t="shared" si="9"/>
        <v/>
      </c>
      <c r="P123" s="10" t="str">
        <f t="shared" si="10"/>
        <v/>
      </c>
      <c r="Q123" s="10" t="str">
        <f>IF(COUNTIF(Lists!$E$5:$E$9,G123)=0,"PROJECT?","")</f>
        <v/>
      </c>
      <c r="R123" s="10" t="str">
        <f t="shared" si="11"/>
        <v/>
      </c>
      <c r="S123" s="10" t="str">
        <f>IF(AND(I123="Y",N123="",COUNTIF(Billing_Data!$H$5:$H$319,M123)=0),"NOT BILLED","")</f>
        <v/>
      </c>
      <c r="T123" s="14">
        <f t="shared" si="12"/>
        <v>0</v>
      </c>
      <c r="U123" s="15">
        <f t="shared" si="13"/>
        <v>800</v>
      </c>
    </row>
    <row r="124" spans="1:21" x14ac:dyDescent="0.25">
      <c r="A124" s="7" t="s">
        <v>174</v>
      </c>
      <c r="B124" s="7" t="s">
        <v>170</v>
      </c>
      <c r="C124" s="8" t="str">
        <f>IFERROR(INDEX(Lists!$B$5:$B$34,MATCH(B124,Lists!$A$5:$A$34,0)),"")</f>
        <v>Devon Kessler</v>
      </c>
      <c r="D124" s="8" t="str">
        <f>IFERROR(INDEX(Lists!$C$5:$C$34,MATCH(B124,Lists!$A$5:$A$34,0)),"")</f>
        <v>Estimator</v>
      </c>
      <c r="E124" s="9">
        <v>46283</v>
      </c>
      <c r="F124" s="10" t="str">
        <f t="shared" si="7"/>
        <v>Fri</v>
      </c>
      <c r="G124" s="7" t="s">
        <v>50</v>
      </c>
      <c r="H124" s="8" t="str">
        <f>IFERROR(INDEX(Lists!$F$5:$F$9,MATCH(G124,Lists!$E$5:$E$9,0)),"")</f>
        <v>Cedar Industrial (fictional)</v>
      </c>
      <c r="I124" s="8" t="str">
        <f>IFERROR(INDEX(Lists!$G$5:$G$9,MATCH(G124,Lists!$E$5:$E$9,0)),"")</f>
        <v>Y</v>
      </c>
      <c r="J124" s="11">
        <v>8</v>
      </c>
      <c r="K124" s="12">
        <v>100</v>
      </c>
      <c r="L124" s="13">
        <f>IF(I124&lt;&gt;"Y","",IFERROR(INDEX(Lists!$L$5:$L$20,MATCH(D124&amp;"|"&amp;G124,Lists!$I$5:$I$20,0)),""))</f>
        <v>100</v>
      </c>
      <c r="M124" s="10" t="str">
        <f t="shared" si="8"/>
        <v>E011|20260918|P103</v>
      </c>
      <c r="N124" s="10" t="str">
        <f>IF(COUNTIFS($M$5:M124,M124)&gt;1,"DUPLICATE","")</f>
        <v/>
      </c>
      <c r="O124" s="10" t="str">
        <f t="shared" si="9"/>
        <v/>
      </c>
      <c r="P124" s="10" t="str">
        <f t="shared" si="10"/>
        <v/>
      </c>
      <c r="Q124" s="10" t="str">
        <f>IF(COUNTIF(Lists!$E$5:$E$9,G124)=0,"PROJECT?","")</f>
        <v/>
      </c>
      <c r="R124" s="10" t="str">
        <f t="shared" si="11"/>
        <v/>
      </c>
      <c r="S124" s="10" t="str">
        <f>IF(AND(I124="Y",N124="",COUNTIF(Billing_Data!$H$5:$H$319,M124)=0),"NOT BILLED","")</f>
        <v/>
      </c>
      <c r="T124" s="14">
        <f t="shared" si="12"/>
        <v>0</v>
      </c>
      <c r="U124" s="15">
        <f t="shared" si="13"/>
        <v>800</v>
      </c>
    </row>
    <row r="125" spans="1:21" x14ac:dyDescent="0.25">
      <c r="A125" s="7" t="s">
        <v>175</v>
      </c>
      <c r="B125" s="7" t="s">
        <v>170</v>
      </c>
      <c r="C125" s="8" t="str">
        <f>IFERROR(INDEX(Lists!$B$5:$B$34,MATCH(B125,Lists!$A$5:$A$34,0)),"")</f>
        <v>Devon Kessler</v>
      </c>
      <c r="D125" s="8" t="str">
        <f>IFERROR(INDEX(Lists!$C$5:$C$34,MATCH(B125,Lists!$A$5:$A$34,0)),"")</f>
        <v>Estimator</v>
      </c>
      <c r="E125" s="9">
        <v>46286</v>
      </c>
      <c r="F125" s="10" t="str">
        <f t="shared" si="7"/>
        <v>Mon</v>
      </c>
      <c r="G125" s="7" t="s">
        <v>50</v>
      </c>
      <c r="H125" s="8" t="str">
        <f>IFERROR(INDEX(Lists!$F$5:$F$9,MATCH(G125,Lists!$E$5:$E$9,0)),"")</f>
        <v>Cedar Industrial (fictional)</v>
      </c>
      <c r="I125" s="8" t="str">
        <f>IFERROR(INDEX(Lists!$G$5:$G$9,MATCH(G125,Lists!$E$5:$E$9,0)),"")</f>
        <v>Y</v>
      </c>
      <c r="J125" s="11">
        <v>8</v>
      </c>
      <c r="K125" s="12">
        <v>100</v>
      </c>
      <c r="L125" s="13">
        <f>IF(I125&lt;&gt;"Y","",IFERROR(INDEX(Lists!$L$5:$L$20,MATCH(D125&amp;"|"&amp;G125,Lists!$I$5:$I$20,0)),""))</f>
        <v>100</v>
      </c>
      <c r="M125" s="10" t="str">
        <f t="shared" si="8"/>
        <v>E011|20260921|P103</v>
      </c>
      <c r="N125" s="10" t="str">
        <f>IF(COUNTIFS($M$5:M125,M125)&gt;1,"DUPLICATE","")</f>
        <v/>
      </c>
      <c r="O125" s="10" t="str">
        <f t="shared" si="9"/>
        <v/>
      </c>
      <c r="P125" s="10" t="str">
        <f t="shared" si="10"/>
        <v/>
      </c>
      <c r="Q125" s="10" t="str">
        <f>IF(COUNTIF(Lists!$E$5:$E$9,G125)=0,"PROJECT?","")</f>
        <v/>
      </c>
      <c r="R125" s="10" t="str">
        <f t="shared" si="11"/>
        <v/>
      </c>
      <c r="S125" s="10" t="str">
        <f>IF(AND(I125="Y",N125="",COUNTIF(Billing_Data!$H$5:$H$319,M125)=0),"NOT BILLED","")</f>
        <v/>
      </c>
      <c r="T125" s="14">
        <f t="shared" si="12"/>
        <v>0</v>
      </c>
      <c r="U125" s="15">
        <f t="shared" si="13"/>
        <v>800</v>
      </c>
    </row>
    <row r="126" spans="1:21" x14ac:dyDescent="0.25">
      <c r="A126" s="7" t="s">
        <v>176</v>
      </c>
      <c r="B126" s="7" t="s">
        <v>170</v>
      </c>
      <c r="C126" s="8" t="str">
        <f>IFERROR(INDEX(Lists!$B$5:$B$34,MATCH(B126,Lists!$A$5:$A$34,0)),"")</f>
        <v>Devon Kessler</v>
      </c>
      <c r="D126" s="8" t="str">
        <f>IFERROR(INDEX(Lists!$C$5:$C$34,MATCH(B126,Lists!$A$5:$A$34,0)),"")</f>
        <v>Estimator</v>
      </c>
      <c r="E126" s="9">
        <v>46288</v>
      </c>
      <c r="F126" s="10" t="str">
        <f t="shared" si="7"/>
        <v>Wed</v>
      </c>
      <c r="G126" s="7" t="s">
        <v>50</v>
      </c>
      <c r="H126" s="8" t="str">
        <f>IFERROR(INDEX(Lists!$F$5:$F$9,MATCH(G126,Lists!$E$5:$E$9,0)),"")</f>
        <v>Cedar Industrial (fictional)</v>
      </c>
      <c r="I126" s="8" t="str">
        <f>IFERROR(INDEX(Lists!$G$5:$G$9,MATCH(G126,Lists!$E$5:$E$9,0)),"")</f>
        <v>Y</v>
      </c>
      <c r="J126" s="11">
        <v>8</v>
      </c>
      <c r="K126" s="12">
        <v>100</v>
      </c>
      <c r="L126" s="13">
        <f>IF(I126&lt;&gt;"Y","",IFERROR(INDEX(Lists!$L$5:$L$20,MATCH(D126&amp;"|"&amp;G126,Lists!$I$5:$I$20,0)),""))</f>
        <v>100</v>
      </c>
      <c r="M126" s="10" t="str">
        <f t="shared" si="8"/>
        <v>E011|20260923|P103</v>
      </c>
      <c r="N126" s="10" t="str">
        <f>IF(COUNTIFS($M$5:M126,M126)&gt;1,"DUPLICATE","")</f>
        <v/>
      </c>
      <c r="O126" s="10" t="str">
        <f t="shared" si="9"/>
        <v/>
      </c>
      <c r="P126" s="10" t="str">
        <f t="shared" si="10"/>
        <v/>
      </c>
      <c r="Q126" s="10" t="str">
        <f>IF(COUNTIF(Lists!$E$5:$E$9,G126)=0,"PROJECT?","")</f>
        <v/>
      </c>
      <c r="R126" s="10" t="str">
        <f t="shared" si="11"/>
        <v/>
      </c>
      <c r="S126" s="10" t="str">
        <f>IF(AND(I126="Y",N126="",COUNTIF(Billing_Data!$H$5:$H$319,M126)=0),"NOT BILLED","")</f>
        <v/>
      </c>
      <c r="T126" s="14">
        <f t="shared" si="12"/>
        <v>0</v>
      </c>
      <c r="U126" s="15">
        <f t="shared" si="13"/>
        <v>800</v>
      </c>
    </row>
    <row r="127" spans="1:21" x14ac:dyDescent="0.25">
      <c r="A127" s="7" t="s">
        <v>177</v>
      </c>
      <c r="B127" s="7" t="s">
        <v>170</v>
      </c>
      <c r="C127" s="8" t="str">
        <f>IFERROR(INDEX(Lists!$B$5:$B$34,MATCH(B127,Lists!$A$5:$A$34,0)),"")</f>
        <v>Devon Kessler</v>
      </c>
      <c r="D127" s="8" t="str">
        <f>IFERROR(INDEX(Lists!$C$5:$C$34,MATCH(B127,Lists!$A$5:$A$34,0)),"")</f>
        <v>Estimator</v>
      </c>
      <c r="E127" s="9">
        <v>46289</v>
      </c>
      <c r="F127" s="10" t="str">
        <f t="shared" si="7"/>
        <v>Thu</v>
      </c>
      <c r="G127" s="7" t="s">
        <v>50</v>
      </c>
      <c r="H127" s="8" t="str">
        <f>IFERROR(INDEX(Lists!$F$5:$F$9,MATCH(G127,Lists!$E$5:$E$9,0)),"")</f>
        <v>Cedar Industrial (fictional)</v>
      </c>
      <c r="I127" s="8" t="str">
        <f>IFERROR(INDEX(Lists!$G$5:$G$9,MATCH(G127,Lists!$E$5:$E$9,0)),"")</f>
        <v>Y</v>
      </c>
      <c r="J127" s="11">
        <v>8</v>
      </c>
      <c r="K127" s="12">
        <v>100</v>
      </c>
      <c r="L127" s="13">
        <f>IF(I127&lt;&gt;"Y","",IFERROR(INDEX(Lists!$L$5:$L$20,MATCH(D127&amp;"|"&amp;G127,Lists!$I$5:$I$20,0)),""))</f>
        <v>100</v>
      </c>
      <c r="M127" s="10" t="str">
        <f t="shared" si="8"/>
        <v>E011|20260924|P103</v>
      </c>
      <c r="N127" s="10" t="str">
        <f>IF(COUNTIFS($M$5:M127,M127)&gt;1,"DUPLICATE","")</f>
        <v/>
      </c>
      <c r="O127" s="10" t="str">
        <f t="shared" si="9"/>
        <v/>
      </c>
      <c r="P127" s="10" t="str">
        <f t="shared" si="10"/>
        <v/>
      </c>
      <c r="Q127" s="10" t="str">
        <f>IF(COUNTIF(Lists!$E$5:$E$9,G127)=0,"PROJECT?","")</f>
        <v/>
      </c>
      <c r="R127" s="10" t="str">
        <f t="shared" si="11"/>
        <v/>
      </c>
      <c r="S127" s="10" t="str">
        <f>IF(AND(I127="Y",N127="",COUNTIF(Billing_Data!$H$5:$H$319,M127)=0),"NOT BILLED","")</f>
        <v/>
      </c>
      <c r="T127" s="14">
        <f t="shared" si="12"/>
        <v>0</v>
      </c>
      <c r="U127" s="15">
        <f t="shared" si="13"/>
        <v>800</v>
      </c>
    </row>
    <row r="128" spans="1:21" x14ac:dyDescent="0.25">
      <c r="A128" s="7" t="s">
        <v>178</v>
      </c>
      <c r="B128" s="7" t="s">
        <v>170</v>
      </c>
      <c r="C128" s="8" t="str">
        <f>IFERROR(INDEX(Lists!$B$5:$B$34,MATCH(B128,Lists!$A$5:$A$34,0)),"")</f>
        <v>Devon Kessler</v>
      </c>
      <c r="D128" s="8" t="str">
        <f>IFERROR(INDEX(Lists!$C$5:$C$34,MATCH(B128,Lists!$A$5:$A$34,0)),"")</f>
        <v>Estimator</v>
      </c>
      <c r="E128" s="9">
        <v>46290</v>
      </c>
      <c r="F128" s="10" t="str">
        <f t="shared" si="7"/>
        <v>Fri</v>
      </c>
      <c r="G128" s="7" t="s">
        <v>50</v>
      </c>
      <c r="H128" s="8" t="str">
        <f>IFERROR(INDEX(Lists!$F$5:$F$9,MATCH(G128,Lists!$E$5:$E$9,0)),"")</f>
        <v>Cedar Industrial (fictional)</v>
      </c>
      <c r="I128" s="8" t="str">
        <f>IFERROR(INDEX(Lists!$G$5:$G$9,MATCH(G128,Lists!$E$5:$E$9,0)),"")</f>
        <v>Y</v>
      </c>
      <c r="J128" s="11">
        <v>8</v>
      </c>
      <c r="K128" s="12">
        <v>100</v>
      </c>
      <c r="L128" s="13">
        <f>IF(I128&lt;&gt;"Y","",IFERROR(INDEX(Lists!$L$5:$L$20,MATCH(D128&amp;"|"&amp;G128,Lists!$I$5:$I$20,0)),""))</f>
        <v>100</v>
      </c>
      <c r="M128" s="10" t="str">
        <f t="shared" si="8"/>
        <v>E011|20260925|P103</v>
      </c>
      <c r="N128" s="10" t="str">
        <f>IF(COUNTIFS($M$5:M128,M128)&gt;1,"DUPLICATE","")</f>
        <v/>
      </c>
      <c r="O128" s="10" t="str">
        <f t="shared" si="9"/>
        <v/>
      </c>
      <c r="P128" s="10" t="str">
        <f t="shared" si="10"/>
        <v/>
      </c>
      <c r="Q128" s="10" t="str">
        <f>IF(COUNTIF(Lists!$E$5:$E$9,G128)=0,"PROJECT?","")</f>
        <v/>
      </c>
      <c r="R128" s="10" t="str">
        <f t="shared" si="11"/>
        <v/>
      </c>
      <c r="S128" s="10" t="str">
        <f>IF(AND(I128="Y",N128="",COUNTIF(Billing_Data!$H$5:$H$319,M128)=0),"NOT BILLED","")</f>
        <v/>
      </c>
      <c r="T128" s="14">
        <f t="shared" si="12"/>
        <v>0</v>
      </c>
      <c r="U128" s="15">
        <f t="shared" si="13"/>
        <v>800</v>
      </c>
    </row>
    <row r="129" spans="1:21" x14ac:dyDescent="0.25">
      <c r="A129" s="7" t="s">
        <v>179</v>
      </c>
      <c r="B129" s="7" t="s">
        <v>180</v>
      </c>
      <c r="C129" s="8" t="str">
        <f>IFERROR(INDEX(Lists!$B$5:$B$34,MATCH(B129,Lists!$A$5:$A$34,0)),"")</f>
        <v>Harper Lindqvist</v>
      </c>
      <c r="D129" s="8" t="str">
        <f>IFERROR(INDEX(Lists!$C$5:$C$34,MATCH(B129,Lists!$A$5:$A$34,0)),"")</f>
        <v>Estimator</v>
      </c>
      <c r="E129" s="9">
        <v>46279</v>
      </c>
      <c r="F129" s="10" t="str">
        <f t="shared" si="7"/>
        <v>Mon</v>
      </c>
      <c r="G129" s="7" t="s">
        <v>74</v>
      </c>
      <c r="H129" s="8" t="str">
        <f>IFERROR(INDEX(Lists!$F$5:$F$9,MATCH(G129,Lists!$E$5:$E$9,0)),"")</f>
        <v>Delta Environmental (fictional)</v>
      </c>
      <c r="I129" s="8" t="str">
        <f>IFERROR(INDEX(Lists!$G$5:$G$9,MATCH(G129,Lists!$E$5:$E$9,0)),"")</f>
        <v>Y</v>
      </c>
      <c r="J129" s="11">
        <v>8</v>
      </c>
      <c r="K129" s="12">
        <v>116</v>
      </c>
      <c r="L129" s="13">
        <f>IF(I129&lt;&gt;"Y","",IFERROR(INDEX(Lists!$L$5:$L$20,MATCH(D129&amp;"|"&amp;G129,Lists!$I$5:$I$20,0)),""))</f>
        <v>116</v>
      </c>
      <c r="M129" s="10" t="str">
        <f t="shared" si="8"/>
        <v>E012|20260914|P104</v>
      </c>
      <c r="N129" s="10" t="str">
        <f>IF(COUNTIFS($M$5:M129,M129)&gt;1,"DUPLICATE","")</f>
        <v/>
      </c>
      <c r="O129" s="10" t="str">
        <f t="shared" si="9"/>
        <v/>
      </c>
      <c r="P129" s="10" t="str">
        <f t="shared" si="10"/>
        <v/>
      </c>
      <c r="Q129" s="10" t="str">
        <f>IF(COUNTIF(Lists!$E$5:$E$9,G129)=0,"PROJECT?","")</f>
        <v/>
      </c>
      <c r="R129" s="10" t="str">
        <f t="shared" si="11"/>
        <v/>
      </c>
      <c r="S129" s="10" t="str">
        <f>IF(AND(I129="Y",N129="",COUNTIF(Billing_Data!$H$5:$H$319,M129)=0),"NOT BILLED","")</f>
        <v/>
      </c>
      <c r="T129" s="14">
        <f t="shared" si="12"/>
        <v>0</v>
      </c>
      <c r="U129" s="15">
        <f t="shared" si="13"/>
        <v>928</v>
      </c>
    </row>
    <row r="130" spans="1:21" x14ac:dyDescent="0.25">
      <c r="A130" s="7" t="s">
        <v>181</v>
      </c>
      <c r="B130" s="7" t="s">
        <v>180</v>
      </c>
      <c r="C130" s="8" t="str">
        <f>IFERROR(INDEX(Lists!$B$5:$B$34,MATCH(B130,Lists!$A$5:$A$34,0)),"")</f>
        <v>Harper Lindqvist</v>
      </c>
      <c r="D130" s="8" t="str">
        <f>IFERROR(INDEX(Lists!$C$5:$C$34,MATCH(B130,Lists!$A$5:$A$34,0)),"")</f>
        <v>Estimator</v>
      </c>
      <c r="E130" s="9">
        <v>46280</v>
      </c>
      <c r="F130" s="10" t="str">
        <f t="shared" si="7"/>
        <v>Tue</v>
      </c>
      <c r="G130" s="7" t="s">
        <v>74</v>
      </c>
      <c r="H130" s="8" t="str">
        <f>IFERROR(INDEX(Lists!$F$5:$F$9,MATCH(G130,Lists!$E$5:$E$9,0)),"")</f>
        <v>Delta Environmental (fictional)</v>
      </c>
      <c r="I130" s="8" t="str">
        <f>IFERROR(INDEX(Lists!$G$5:$G$9,MATCH(G130,Lists!$E$5:$E$9,0)),"")</f>
        <v>Y</v>
      </c>
      <c r="J130" s="11">
        <v>8</v>
      </c>
      <c r="K130" s="12">
        <v>116</v>
      </c>
      <c r="L130" s="13">
        <f>IF(I130&lt;&gt;"Y","",IFERROR(INDEX(Lists!$L$5:$L$20,MATCH(D130&amp;"|"&amp;G130,Lists!$I$5:$I$20,0)),""))</f>
        <v>116</v>
      </c>
      <c r="M130" s="10" t="str">
        <f t="shared" si="8"/>
        <v>E012|20260915|P104</v>
      </c>
      <c r="N130" s="10" t="str">
        <f>IF(COUNTIFS($M$5:M130,M130)&gt;1,"DUPLICATE","")</f>
        <v/>
      </c>
      <c r="O130" s="10" t="str">
        <f t="shared" si="9"/>
        <v/>
      </c>
      <c r="P130" s="10" t="str">
        <f t="shared" si="10"/>
        <v/>
      </c>
      <c r="Q130" s="10" t="str">
        <f>IF(COUNTIF(Lists!$E$5:$E$9,G130)=0,"PROJECT?","")</f>
        <v/>
      </c>
      <c r="R130" s="10" t="str">
        <f t="shared" si="11"/>
        <v/>
      </c>
      <c r="S130" s="10" t="str">
        <f>IF(AND(I130="Y",N130="",COUNTIF(Billing_Data!$H$5:$H$319,M130)=0),"NOT BILLED","")</f>
        <v/>
      </c>
      <c r="T130" s="14">
        <f t="shared" si="12"/>
        <v>0</v>
      </c>
      <c r="U130" s="15">
        <f t="shared" si="13"/>
        <v>928</v>
      </c>
    </row>
    <row r="131" spans="1:21" x14ac:dyDescent="0.25">
      <c r="A131" s="7" t="s">
        <v>182</v>
      </c>
      <c r="B131" s="7" t="s">
        <v>180</v>
      </c>
      <c r="C131" s="8" t="str">
        <f>IFERROR(INDEX(Lists!$B$5:$B$34,MATCH(B131,Lists!$A$5:$A$34,0)),"")</f>
        <v>Harper Lindqvist</v>
      </c>
      <c r="D131" s="8" t="str">
        <f>IFERROR(INDEX(Lists!$C$5:$C$34,MATCH(B131,Lists!$A$5:$A$34,0)),"")</f>
        <v>Estimator</v>
      </c>
      <c r="E131" s="9">
        <v>46281</v>
      </c>
      <c r="F131" s="10" t="str">
        <f t="shared" si="7"/>
        <v>Wed</v>
      </c>
      <c r="G131" s="7" t="s">
        <v>74</v>
      </c>
      <c r="H131" s="8" t="str">
        <f>IFERROR(INDEX(Lists!$F$5:$F$9,MATCH(G131,Lists!$E$5:$E$9,0)),"")</f>
        <v>Delta Environmental (fictional)</v>
      </c>
      <c r="I131" s="8" t="str">
        <f>IFERROR(INDEX(Lists!$G$5:$G$9,MATCH(G131,Lists!$E$5:$E$9,0)),"")</f>
        <v>Y</v>
      </c>
      <c r="J131" s="11">
        <v>8</v>
      </c>
      <c r="K131" s="12">
        <v>116</v>
      </c>
      <c r="L131" s="13">
        <f>IF(I131&lt;&gt;"Y","",IFERROR(INDEX(Lists!$L$5:$L$20,MATCH(D131&amp;"|"&amp;G131,Lists!$I$5:$I$20,0)),""))</f>
        <v>116</v>
      </c>
      <c r="M131" s="10" t="str">
        <f t="shared" si="8"/>
        <v>E012|20260916|P104</v>
      </c>
      <c r="N131" s="10" t="str">
        <f>IF(COUNTIFS($M$5:M131,M131)&gt;1,"DUPLICATE","")</f>
        <v/>
      </c>
      <c r="O131" s="10" t="str">
        <f t="shared" si="9"/>
        <v/>
      </c>
      <c r="P131" s="10" t="str">
        <f t="shared" si="10"/>
        <v/>
      </c>
      <c r="Q131" s="10" t="str">
        <f>IF(COUNTIF(Lists!$E$5:$E$9,G131)=0,"PROJECT?","")</f>
        <v/>
      </c>
      <c r="R131" s="10" t="str">
        <f t="shared" si="11"/>
        <v/>
      </c>
      <c r="S131" s="10" t="str">
        <f>IF(AND(I131="Y",N131="",COUNTIF(Billing_Data!$H$5:$H$319,M131)=0),"NOT BILLED","")</f>
        <v/>
      </c>
      <c r="T131" s="14">
        <f t="shared" si="12"/>
        <v>0</v>
      </c>
      <c r="U131" s="15">
        <f t="shared" si="13"/>
        <v>928</v>
      </c>
    </row>
    <row r="132" spans="1:21" x14ac:dyDescent="0.25">
      <c r="A132" s="7" t="s">
        <v>183</v>
      </c>
      <c r="B132" s="7" t="s">
        <v>180</v>
      </c>
      <c r="C132" s="8" t="str">
        <f>IFERROR(INDEX(Lists!$B$5:$B$34,MATCH(B132,Lists!$A$5:$A$34,0)),"")</f>
        <v>Harper Lindqvist</v>
      </c>
      <c r="D132" s="8" t="str">
        <f>IFERROR(INDEX(Lists!$C$5:$C$34,MATCH(B132,Lists!$A$5:$A$34,0)),"")</f>
        <v>Estimator</v>
      </c>
      <c r="E132" s="9">
        <v>46282</v>
      </c>
      <c r="F132" s="10" t="str">
        <f t="shared" si="7"/>
        <v>Thu</v>
      </c>
      <c r="G132" s="7" t="s">
        <v>74</v>
      </c>
      <c r="H132" s="8" t="str">
        <f>IFERROR(INDEX(Lists!$F$5:$F$9,MATCH(G132,Lists!$E$5:$E$9,0)),"")</f>
        <v>Delta Environmental (fictional)</v>
      </c>
      <c r="I132" s="8" t="str">
        <f>IFERROR(INDEX(Lists!$G$5:$G$9,MATCH(G132,Lists!$E$5:$E$9,0)),"")</f>
        <v>Y</v>
      </c>
      <c r="J132" s="11">
        <v>8</v>
      </c>
      <c r="K132" s="12">
        <v>116</v>
      </c>
      <c r="L132" s="13">
        <f>IF(I132&lt;&gt;"Y","",IFERROR(INDEX(Lists!$L$5:$L$20,MATCH(D132&amp;"|"&amp;G132,Lists!$I$5:$I$20,0)),""))</f>
        <v>116</v>
      </c>
      <c r="M132" s="10" t="str">
        <f t="shared" si="8"/>
        <v>E012|20260917|P104</v>
      </c>
      <c r="N132" s="10" t="str">
        <f>IF(COUNTIFS($M$5:M132,M132)&gt;1,"DUPLICATE","")</f>
        <v/>
      </c>
      <c r="O132" s="10" t="str">
        <f t="shared" si="9"/>
        <v/>
      </c>
      <c r="P132" s="10" t="str">
        <f t="shared" si="10"/>
        <v/>
      </c>
      <c r="Q132" s="10" t="str">
        <f>IF(COUNTIF(Lists!$E$5:$E$9,G132)=0,"PROJECT?","")</f>
        <v/>
      </c>
      <c r="R132" s="10" t="str">
        <f t="shared" si="11"/>
        <v/>
      </c>
      <c r="S132" s="10" t="str">
        <f>IF(AND(I132="Y",N132="",COUNTIF(Billing_Data!$H$5:$H$319,M132)=0),"NOT BILLED","")</f>
        <v/>
      </c>
      <c r="T132" s="14">
        <f t="shared" si="12"/>
        <v>0</v>
      </c>
      <c r="U132" s="15">
        <f t="shared" si="13"/>
        <v>928</v>
      </c>
    </row>
    <row r="133" spans="1:21" x14ac:dyDescent="0.25">
      <c r="A133" s="7" t="s">
        <v>184</v>
      </c>
      <c r="B133" s="7" t="s">
        <v>180</v>
      </c>
      <c r="C133" s="8" t="str">
        <f>IFERROR(INDEX(Lists!$B$5:$B$34,MATCH(B133,Lists!$A$5:$A$34,0)),"")</f>
        <v>Harper Lindqvist</v>
      </c>
      <c r="D133" s="8" t="str">
        <f>IFERROR(INDEX(Lists!$C$5:$C$34,MATCH(B133,Lists!$A$5:$A$34,0)),"")</f>
        <v>Estimator</v>
      </c>
      <c r="E133" s="9">
        <v>46283</v>
      </c>
      <c r="F133" s="10" t="str">
        <f t="shared" ref="F133:F196" si="14">TEXT(E133,"ddd")</f>
        <v>Fri</v>
      </c>
      <c r="G133" s="7" t="s">
        <v>74</v>
      </c>
      <c r="H133" s="8" t="str">
        <f>IFERROR(INDEX(Lists!$F$5:$F$9,MATCH(G133,Lists!$E$5:$E$9,0)),"")</f>
        <v>Delta Environmental (fictional)</v>
      </c>
      <c r="I133" s="8" t="str">
        <f>IFERROR(INDEX(Lists!$G$5:$G$9,MATCH(G133,Lists!$E$5:$E$9,0)),"")</f>
        <v>Y</v>
      </c>
      <c r="J133" s="11">
        <v>8</v>
      </c>
      <c r="K133" s="12">
        <v>116</v>
      </c>
      <c r="L133" s="13">
        <f>IF(I133&lt;&gt;"Y","",IFERROR(INDEX(Lists!$L$5:$L$20,MATCH(D133&amp;"|"&amp;G133,Lists!$I$5:$I$20,0)),""))</f>
        <v>116</v>
      </c>
      <c r="M133" s="10" t="str">
        <f t="shared" ref="M133:M196" si="15">B133&amp;"|"&amp;TEXT(E133,"yyyymmdd")&amp;"|"&amp;G133</f>
        <v>E012|20260918|P104</v>
      </c>
      <c r="N133" s="10" t="str">
        <f>IF(COUNTIFS($M$5:M133,M133)&gt;1,"DUPLICATE","")</f>
        <v/>
      </c>
      <c r="O133" s="10" t="str">
        <f t="shared" ref="O133:O196" si="16">IF(OR(J133&lt;=0,J133&gt;12),"HOURS?","")</f>
        <v/>
      </c>
      <c r="P133" s="10" t="str">
        <f t="shared" ref="P133:P196" si="17">IF(WEEKDAY(E133,2)&gt;5,"WEEKEND","")</f>
        <v/>
      </c>
      <c r="Q133" s="10" t="str">
        <f>IF(COUNTIF(Lists!$E$5:$E$9,G133)=0,"PROJECT?","")</f>
        <v/>
      </c>
      <c r="R133" s="10" t="str">
        <f t="shared" ref="R133:R196" si="18">IF(AND(I133="Y",L133&lt;&gt;"",K133&lt;&gt;L133),"RATE","")</f>
        <v/>
      </c>
      <c r="S133" s="10" t="str">
        <f>IF(AND(I133="Y",N133="",COUNTIF(Billing_Data!$H$5:$H$319,M133)=0),"NOT BILLED","")</f>
        <v/>
      </c>
      <c r="T133" s="14">
        <f t="shared" ref="T133:T196" si="19">SUMPRODUCT(--(LEN(N133:S133)&gt;0))</f>
        <v>0</v>
      </c>
      <c r="U133" s="15">
        <f t="shared" ref="U133:U196" si="20">IF(AND(I133="Y",N133="",L133&lt;&gt;""),J133*L133,0)</f>
        <v>928</v>
      </c>
    </row>
    <row r="134" spans="1:21" x14ac:dyDescent="0.25">
      <c r="A134" s="7" t="s">
        <v>185</v>
      </c>
      <c r="B134" s="7" t="s">
        <v>180</v>
      </c>
      <c r="C134" s="8" t="str">
        <f>IFERROR(INDEX(Lists!$B$5:$B$34,MATCH(B134,Lists!$A$5:$A$34,0)),"")</f>
        <v>Harper Lindqvist</v>
      </c>
      <c r="D134" s="8" t="str">
        <f>IFERROR(INDEX(Lists!$C$5:$C$34,MATCH(B134,Lists!$A$5:$A$34,0)),"")</f>
        <v>Estimator</v>
      </c>
      <c r="E134" s="9">
        <v>46286</v>
      </c>
      <c r="F134" s="10" t="str">
        <f t="shared" si="14"/>
        <v>Mon</v>
      </c>
      <c r="G134" s="7" t="s">
        <v>74</v>
      </c>
      <c r="H134" s="8" t="str">
        <f>IFERROR(INDEX(Lists!$F$5:$F$9,MATCH(G134,Lists!$E$5:$E$9,0)),"")</f>
        <v>Delta Environmental (fictional)</v>
      </c>
      <c r="I134" s="8" t="str">
        <f>IFERROR(INDEX(Lists!$G$5:$G$9,MATCH(G134,Lists!$E$5:$E$9,0)),"")</f>
        <v>Y</v>
      </c>
      <c r="J134" s="11">
        <v>8</v>
      </c>
      <c r="K134" s="12">
        <v>116</v>
      </c>
      <c r="L134" s="13">
        <f>IF(I134&lt;&gt;"Y","",IFERROR(INDEX(Lists!$L$5:$L$20,MATCH(D134&amp;"|"&amp;G134,Lists!$I$5:$I$20,0)),""))</f>
        <v>116</v>
      </c>
      <c r="M134" s="10" t="str">
        <f t="shared" si="15"/>
        <v>E012|20260921|P104</v>
      </c>
      <c r="N134" s="10" t="str">
        <f>IF(COUNTIFS($M$5:M134,M134)&gt;1,"DUPLICATE","")</f>
        <v/>
      </c>
      <c r="O134" s="10" t="str">
        <f t="shared" si="16"/>
        <v/>
      </c>
      <c r="P134" s="10" t="str">
        <f t="shared" si="17"/>
        <v/>
      </c>
      <c r="Q134" s="10" t="str">
        <f>IF(COUNTIF(Lists!$E$5:$E$9,G134)=0,"PROJECT?","")</f>
        <v/>
      </c>
      <c r="R134" s="10" t="str">
        <f t="shared" si="18"/>
        <v/>
      </c>
      <c r="S134" s="10" t="str">
        <f>IF(AND(I134="Y",N134="",COUNTIF(Billing_Data!$H$5:$H$319,M134)=0),"NOT BILLED","")</f>
        <v/>
      </c>
      <c r="T134" s="14">
        <f t="shared" si="19"/>
        <v>0</v>
      </c>
      <c r="U134" s="15">
        <f t="shared" si="20"/>
        <v>928</v>
      </c>
    </row>
    <row r="135" spans="1:21" x14ac:dyDescent="0.25">
      <c r="A135" s="7" t="s">
        <v>186</v>
      </c>
      <c r="B135" s="7" t="s">
        <v>180</v>
      </c>
      <c r="C135" s="8" t="str">
        <f>IFERROR(INDEX(Lists!$B$5:$B$34,MATCH(B135,Lists!$A$5:$A$34,0)),"")</f>
        <v>Harper Lindqvist</v>
      </c>
      <c r="D135" s="8" t="str">
        <f>IFERROR(INDEX(Lists!$C$5:$C$34,MATCH(B135,Lists!$A$5:$A$34,0)),"")</f>
        <v>Estimator</v>
      </c>
      <c r="E135" s="9">
        <v>46287</v>
      </c>
      <c r="F135" s="10" t="str">
        <f t="shared" si="14"/>
        <v>Tue</v>
      </c>
      <c r="G135" s="7" t="s">
        <v>187</v>
      </c>
      <c r="H135" s="8" t="str">
        <f>IFERROR(INDEX(Lists!$F$5:$F$9,MATCH(G135,Lists!$E$5:$E$9,0)),"")</f>
        <v/>
      </c>
      <c r="I135" s="8" t="str">
        <f>IFERROR(INDEX(Lists!$G$5:$G$9,MATCH(G135,Lists!$E$5:$E$9,0)),"")</f>
        <v/>
      </c>
      <c r="J135" s="11">
        <v>4</v>
      </c>
      <c r="K135" s="12">
        <v>116</v>
      </c>
      <c r="L135" s="13" t="str">
        <f>IF(I135&lt;&gt;"Y","",IFERROR(INDEX(Lists!$L$5:$L$20,MATCH(D135&amp;"|"&amp;G135,Lists!$I$5:$I$20,0)),""))</f>
        <v/>
      </c>
      <c r="M135" s="10" t="str">
        <f t="shared" si="15"/>
        <v>E012|20260922|P105</v>
      </c>
      <c r="N135" s="10" t="str">
        <f>IF(COUNTIFS($M$5:M135,M135)&gt;1,"DUPLICATE","")</f>
        <v/>
      </c>
      <c r="O135" s="10" t="str">
        <f t="shared" si="16"/>
        <v/>
      </c>
      <c r="P135" s="10" t="str">
        <f t="shared" si="17"/>
        <v/>
      </c>
      <c r="Q135" s="10" t="str">
        <f>IF(COUNTIF(Lists!$E$5:$E$9,G135)=0,"PROJECT?","")</f>
        <v>PROJECT?</v>
      </c>
      <c r="R135" s="10" t="str">
        <f t="shared" si="18"/>
        <v/>
      </c>
      <c r="S135" s="10" t="str">
        <f>IF(AND(I135="Y",N135="",COUNTIF(Billing_Data!$H$5:$H$319,M135)=0),"NOT BILLED","")</f>
        <v/>
      </c>
      <c r="T135" s="14">
        <f t="shared" si="19"/>
        <v>1</v>
      </c>
      <c r="U135" s="15">
        <f t="shared" si="20"/>
        <v>0</v>
      </c>
    </row>
    <row r="136" spans="1:21" x14ac:dyDescent="0.25">
      <c r="A136" s="7" t="s">
        <v>188</v>
      </c>
      <c r="B136" s="7" t="s">
        <v>180</v>
      </c>
      <c r="C136" s="8" t="str">
        <f>IFERROR(INDEX(Lists!$B$5:$B$34,MATCH(B136,Lists!$A$5:$A$34,0)),"")</f>
        <v>Harper Lindqvist</v>
      </c>
      <c r="D136" s="8" t="str">
        <f>IFERROR(INDEX(Lists!$C$5:$C$34,MATCH(B136,Lists!$A$5:$A$34,0)),"")</f>
        <v>Estimator</v>
      </c>
      <c r="E136" s="9">
        <v>46287</v>
      </c>
      <c r="F136" s="10" t="str">
        <f t="shared" si="14"/>
        <v>Tue</v>
      </c>
      <c r="G136" s="7" t="s">
        <v>41</v>
      </c>
      <c r="H136" s="8" t="str">
        <f>IFERROR(INDEX(Lists!$F$5:$F$9,MATCH(G136,Lists!$E$5:$E$9,0)),"")</f>
        <v>Alder Energy (fictional)</v>
      </c>
      <c r="I136" s="8" t="str">
        <f>IFERROR(INDEX(Lists!$G$5:$G$9,MATCH(G136,Lists!$E$5:$E$9,0)),"")</f>
        <v>Y</v>
      </c>
      <c r="J136" s="11">
        <v>4</v>
      </c>
      <c r="K136" s="12">
        <v>105</v>
      </c>
      <c r="L136" s="13">
        <f>IF(I136&lt;&gt;"Y","",IFERROR(INDEX(Lists!$L$5:$L$20,MATCH(D136&amp;"|"&amp;G136,Lists!$I$5:$I$20,0)),""))</f>
        <v>105</v>
      </c>
      <c r="M136" s="10" t="str">
        <f t="shared" si="15"/>
        <v>E012|20260922|P101</v>
      </c>
      <c r="N136" s="10" t="str">
        <f>IF(COUNTIFS($M$5:M136,M136)&gt;1,"DUPLICATE","")</f>
        <v/>
      </c>
      <c r="O136" s="10" t="str">
        <f t="shared" si="16"/>
        <v/>
      </c>
      <c r="P136" s="10" t="str">
        <f t="shared" si="17"/>
        <v/>
      </c>
      <c r="Q136" s="10" t="str">
        <f>IF(COUNTIF(Lists!$E$5:$E$9,G136)=0,"PROJECT?","")</f>
        <v/>
      </c>
      <c r="R136" s="10" t="str">
        <f t="shared" si="18"/>
        <v/>
      </c>
      <c r="S136" s="10" t="str">
        <f>IF(AND(I136="Y",N136="",COUNTIF(Billing_Data!$H$5:$H$319,M136)=0),"NOT BILLED","")</f>
        <v/>
      </c>
      <c r="T136" s="14">
        <f t="shared" si="19"/>
        <v>0</v>
      </c>
      <c r="U136" s="15">
        <f t="shared" si="20"/>
        <v>420</v>
      </c>
    </row>
    <row r="137" spans="1:21" x14ac:dyDescent="0.25">
      <c r="A137" s="7" t="s">
        <v>189</v>
      </c>
      <c r="B137" s="7" t="s">
        <v>180</v>
      </c>
      <c r="C137" s="8" t="str">
        <f>IFERROR(INDEX(Lists!$B$5:$B$34,MATCH(B137,Lists!$A$5:$A$34,0)),"")</f>
        <v>Harper Lindqvist</v>
      </c>
      <c r="D137" s="8" t="str">
        <f>IFERROR(INDEX(Lists!$C$5:$C$34,MATCH(B137,Lists!$A$5:$A$34,0)),"")</f>
        <v>Estimator</v>
      </c>
      <c r="E137" s="9">
        <v>46288</v>
      </c>
      <c r="F137" s="10" t="str">
        <f t="shared" si="14"/>
        <v>Wed</v>
      </c>
      <c r="G137" s="7" t="s">
        <v>74</v>
      </c>
      <c r="H137" s="8" t="str">
        <f>IFERROR(INDEX(Lists!$F$5:$F$9,MATCH(G137,Lists!$E$5:$E$9,0)),"")</f>
        <v>Delta Environmental (fictional)</v>
      </c>
      <c r="I137" s="8" t="str">
        <f>IFERROR(INDEX(Lists!$G$5:$G$9,MATCH(G137,Lists!$E$5:$E$9,0)),"")</f>
        <v>Y</v>
      </c>
      <c r="J137" s="11">
        <v>4</v>
      </c>
      <c r="K137" s="12">
        <v>116</v>
      </c>
      <c r="L137" s="13">
        <f>IF(I137&lt;&gt;"Y","",IFERROR(INDEX(Lists!$L$5:$L$20,MATCH(D137&amp;"|"&amp;G137,Lists!$I$5:$I$20,0)),""))</f>
        <v>116</v>
      </c>
      <c r="M137" s="10" t="str">
        <f t="shared" si="15"/>
        <v>E012|20260923|P104</v>
      </c>
      <c r="N137" s="10" t="str">
        <f>IF(COUNTIFS($M$5:M137,M137)&gt;1,"DUPLICATE","")</f>
        <v/>
      </c>
      <c r="O137" s="10" t="str">
        <f t="shared" si="16"/>
        <v/>
      </c>
      <c r="P137" s="10" t="str">
        <f t="shared" si="17"/>
        <v/>
      </c>
      <c r="Q137" s="10" t="str">
        <f>IF(COUNTIF(Lists!$E$5:$E$9,G137)=0,"PROJECT?","")</f>
        <v/>
      </c>
      <c r="R137" s="10" t="str">
        <f t="shared" si="18"/>
        <v/>
      </c>
      <c r="S137" s="10" t="str">
        <f>IF(AND(I137="Y",N137="",COUNTIF(Billing_Data!$H$5:$H$319,M137)=0),"NOT BILLED","")</f>
        <v/>
      </c>
      <c r="T137" s="14">
        <f t="shared" si="19"/>
        <v>0</v>
      </c>
      <c r="U137" s="15">
        <f t="shared" si="20"/>
        <v>464</v>
      </c>
    </row>
    <row r="138" spans="1:21" x14ac:dyDescent="0.25">
      <c r="A138" s="7" t="s">
        <v>190</v>
      </c>
      <c r="B138" s="7" t="s">
        <v>180</v>
      </c>
      <c r="C138" s="8" t="str">
        <f>IFERROR(INDEX(Lists!$B$5:$B$34,MATCH(B138,Lists!$A$5:$A$34,0)),"")</f>
        <v>Harper Lindqvist</v>
      </c>
      <c r="D138" s="8" t="str">
        <f>IFERROR(INDEX(Lists!$C$5:$C$34,MATCH(B138,Lists!$A$5:$A$34,0)),"")</f>
        <v>Estimator</v>
      </c>
      <c r="E138" s="9">
        <v>46288</v>
      </c>
      <c r="F138" s="10" t="str">
        <f t="shared" si="14"/>
        <v>Wed</v>
      </c>
      <c r="G138" s="7" t="s">
        <v>46</v>
      </c>
      <c r="H138" s="8" t="str">
        <f>IFERROR(INDEX(Lists!$F$5:$F$9,MATCH(G138,Lists!$E$5:$E$9,0)),"")</f>
        <v>Birchwood Midstream (fictional)</v>
      </c>
      <c r="I138" s="8" t="str">
        <f>IFERROR(INDEX(Lists!$G$5:$G$9,MATCH(G138,Lists!$E$5:$E$9,0)),"")</f>
        <v>Y</v>
      </c>
      <c r="J138" s="11">
        <v>4</v>
      </c>
      <c r="K138" s="12">
        <v>110</v>
      </c>
      <c r="L138" s="13">
        <f>IF(I138&lt;&gt;"Y","",IFERROR(INDEX(Lists!$L$5:$L$20,MATCH(D138&amp;"|"&amp;G138,Lists!$I$5:$I$20,0)),""))</f>
        <v>110</v>
      </c>
      <c r="M138" s="10" t="str">
        <f t="shared" si="15"/>
        <v>E012|20260923|P102</v>
      </c>
      <c r="N138" s="10" t="str">
        <f>IF(COUNTIFS($M$5:M138,M138)&gt;1,"DUPLICATE","")</f>
        <v/>
      </c>
      <c r="O138" s="10" t="str">
        <f t="shared" si="16"/>
        <v/>
      </c>
      <c r="P138" s="10" t="str">
        <f t="shared" si="17"/>
        <v/>
      </c>
      <c r="Q138" s="10" t="str">
        <f>IF(COUNTIF(Lists!$E$5:$E$9,G138)=0,"PROJECT?","")</f>
        <v/>
      </c>
      <c r="R138" s="10" t="str">
        <f t="shared" si="18"/>
        <v/>
      </c>
      <c r="S138" s="10" t="str">
        <f>IF(AND(I138="Y",N138="",COUNTIF(Billing_Data!$H$5:$H$319,M138)=0),"NOT BILLED","")</f>
        <v/>
      </c>
      <c r="T138" s="14">
        <f t="shared" si="19"/>
        <v>0</v>
      </c>
      <c r="U138" s="15">
        <f t="shared" si="20"/>
        <v>440</v>
      </c>
    </row>
    <row r="139" spans="1:21" x14ac:dyDescent="0.25">
      <c r="A139" s="7" t="s">
        <v>191</v>
      </c>
      <c r="B139" s="7" t="s">
        <v>180</v>
      </c>
      <c r="C139" s="8" t="str">
        <f>IFERROR(INDEX(Lists!$B$5:$B$34,MATCH(B139,Lists!$A$5:$A$34,0)),"")</f>
        <v>Harper Lindqvist</v>
      </c>
      <c r="D139" s="8" t="str">
        <f>IFERROR(INDEX(Lists!$C$5:$C$34,MATCH(B139,Lists!$A$5:$A$34,0)),"")</f>
        <v>Estimator</v>
      </c>
      <c r="E139" s="9">
        <v>46289</v>
      </c>
      <c r="F139" s="10" t="str">
        <f t="shared" si="14"/>
        <v>Thu</v>
      </c>
      <c r="G139" s="7" t="s">
        <v>74</v>
      </c>
      <c r="H139" s="8" t="str">
        <f>IFERROR(INDEX(Lists!$F$5:$F$9,MATCH(G139,Lists!$E$5:$E$9,0)),"")</f>
        <v>Delta Environmental (fictional)</v>
      </c>
      <c r="I139" s="8" t="str">
        <f>IFERROR(INDEX(Lists!$G$5:$G$9,MATCH(G139,Lists!$E$5:$E$9,0)),"")</f>
        <v>Y</v>
      </c>
      <c r="J139" s="11">
        <v>8</v>
      </c>
      <c r="K139" s="12">
        <v>116</v>
      </c>
      <c r="L139" s="13">
        <f>IF(I139&lt;&gt;"Y","",IFERROR(INDEX(Lists!$L$5:$L$20,MATCH(D139&amp;"|"&amp;G139,Lists!$I$5:$I$20,0)),""))</f>
        <v>116</v>
      </c>
      <c r="M139" s="10" t="str">
        <f t="shared" si="15"/>
        <v>E012|20260924|P104</v>
      </c>
      <c r="N139" s="10" t="str">
        <f>IF(COUNTIFS($M$5:M139,M139)&gt;1,"DUPLICATE","")</f>
        <v/>
      </c>
      <c r="O139" s="10" t="str">
        <f t="shared" si="16"/>
        <v/>
      </c>
      <c r="P139" s="10" t="str">
        <f t="shared" si="17"/>
        <v/>
      </c>
      <c r="Q139" s="10" t="str">
        <f>IF(COUNTIF(Lists!$E$5:$E$9,G139)=0,"PROJECT?","")</f>
        <v/>
      </c>
      <c r="R139" s="10" t="str">
        <f t="shared" si="18"/>
        <v/>
      </c>
      <c r="S139" s="10" t="str">
        <f>IF(AND(I139="Y",N139="",COUNTIF(Billing_Data!$H$5:$H$319,M139)=0),"NOT BILLED","")</f>
        <v/>
      </c>
      <c r="T139" s="14">
        <f t="shared" si="19"/>
        <v>0</v>
      </c>
      <c r="U139" s="15">
        <f t="shared" si="20"/>
        <v>928</v>
      </c>
    </row>
    <row r="140" spans="1:21" x14ac:dyDescent="0.25">
      <c r="A140" s="7" t="s">
        <v>192</v>
      </c>
      <c r="B140" s="7" t="s">
        <v>180</v>
      </c>
      <c r="C140" s="8" t="str">
        <f>IFERROR(INDEX(Lists!$B$5:$B$34,MATCH(B140,Lists!$A$5:$A$34,0)),"")</f>
        <v>Harper Lindqvist</v>
      </c>
      <c r="D140" s="8" t="str">
        <f>IFERROR(INDEX(Lists!$C$5:$C$34,MATCH(B140,Lists!$A$5:$A$34,0)),"")</f>
        <v>Estimator</v>
      </c>
      <c r="E140" s="9">
        <v>46290</v>
      </c>
      <c r="F140" s="10" t="str">
        <f t="shared" si="14"/>
        <v>Fri</v>
      </c>
      <c r="G140" s="7" t="s">
        <v>74</v>
      </c>
      <c r="H140" s="8" t="str">
        <f>IFERROR(INDEX(Lists!$F$5:$F$9,MATCH(G140,Lists!$E$5:$E$9,0)),"")</f>
        <v>Delta Environmental (fictional)</v>
      </c>
      <c r="I140" s="8" t="str">
        <f>IFERROR(INDEX(Lists!$G$5:$G$9,MATCH(G140,Lists!$E$5:$E$9,0)),"")</f>
        <v>Y</v>
      </c>
      <c r="J140" s="11">
        <v>8</v>
      </c>
      <c r="K140" s="12">
        <v>116</v>
      </c>
      <c r="L140" s="13">
        <f>IF(I140&lt;&gt;"Y","",IFERROR(INDEX(Lists!$L$5:$L$20,MATCH(D140&amp;"|"&amp;G140,Lists!$I$5:$I$20,0)),""))</f>
        <v>116</v>
      </c>
      <c r="M140" s="10" t="str">
        <f t="shared" si="15"/>
        <v>E012|20260925|P104</v>
      </c>
      <c r="N140" s="10" t="str">
        <f>IF(COUNTIFS($M$5:M140,M140)&gt;1,"DUPLICATE","")</f>
        <v/>
      </c>
      <c r="O140" s="10" t="str">
        <f t="shared" si="16"/>
        <v/>
      </c>
      <c r="P140" s="10" t="str">
        <f t="shared" si="17"/>
        <v/>
      </c>
      <c r="Q140" s="10" t="str">
        <f>IF(COUNTIF(Lists!$E$5:$E$9,G140)=0,"PROJECT?","")</f>
        <v/>
      </c>
      <c r="R140" s="10" t="str">
        <f t="shared" si="18"/>
        <v/>
      </c>
      <c r="S140" s="10" t="str">
        <f>IF(AND(I140="Y",N140="",COUNTIF(Billing_Data!$H$5:$H$319,M140)=0),"NOT BILLED","")</f>
        <v/>
      </c>
      <c r="T140" s="14">
        <f t="shared" si="19"/>
        <v>0</v>
      </c>
      <c r="U140" s="15">
        <f t="shared" si="20"/>
        <v>928</v>
      </c>
    </row>
    <row r="141" spans="1:21" x14ac:dyDescent="0.25">
      <c r="A141" s="7" t="s">
        <v>193</v>
      </c>
      <c r="B141" s="7" t="s">
        <v>194</v>
      </c>
      <c r="C141" s="8" t="str">
        <f>IFERROR(INDEX(Lists!$B$5:$B$34,MATCH(B141,Lists!$A$5:$A$34,0)),"")</f>
        <v>Emerson Mercer</v>
      </c>
      <c r="D141" s="8" t="str">
        <f>IFERROR(INDEX(Lists!$C$5:$C$34,MATCH(B141,Lists!$A$5:$A$34,0)),"")</f>
        <v>Estimator</v>
      </c>
      <c r="E141" s="9">
        <v>46279</v>
      </c>
      <c r="F141" s="10" t="str">
        <f t="shared" si="14"/>
        <v>Mon</v>
      </c>
      <c r="G141" s="7" t="s">
        <v>41</v>
      </c>
      <c r="H141" s="8" t="str">
        <f>IFERROR(INDEX(Lists!$F$5:$F$9,MATCH(G141,Lists!$E$5:$E$9,0)),"")</f>
        <v>Alder Energy (fictional)</v>
      </c>
      <c r="I141" s="8" t="str">
        <f>IFERROR(INDEX(Lists!$G$5:$G$9,MATCH(G141,Lists!$E$5:$E$9,0)),"")</f>
        <v>Y</v>
      </c>
      <c r="J141" s="11">
        <v>8</v>
      </c>
      <c r="K141" s="12">
        <v>105</v>
      </c>
      <c r="L141" s="13">
        <f>IF(I141&lt;&gt;"Y","",IFERROR(INDEX(Lists!$L$5:$L$20,MATCH(D141&amp;"|"&amp;G141,Lists!$I$5:$I$20,0)),""))</f>
        <v>105</v>
      </c>
      <c r="M141" s="10" t="str">
        <f t="shared" si="15"/>
        <v>E013|20260914|P101</v>
      </c>
      <c r="N141" s="10" t="str">
        <f>IF(COUNTIFS($M$5:M141,M141)&gt;1,"DUPLICATE","")</f>
        <v/>
      </c>
      <c r="O141" s="10" t="str">
        <f t="shared" si="16"/>
        <v/>
      </c>
      <c r="P141" s="10" t="str">
        <f t="shared" si="17"/>
        <v/>
      </c>
      <c r="Q141" s="10" t="str">
        <f>IF(COUNTIF(Lists!$E$5:$E$9,G141)=0,"PROJECT?","")</f>
        <v/>
      </c>
      <c r="R141" s="10" t="str">
        <f t="shared" si="18"/>
        <v/>
      </c>
      <c r="S141" s="10" t="str">
        <f>IF(AND(I141="Y",N141="",COUNTIF(Billing_Data!$H$5:$H$319,M141)=0),"NOT BILLED","")</f>
        <v/>
      </c>
      <c r="T141" s="14">
        <f t="shared" si="19"/>
        <v>0</v>
      </c>
      <c r="U141" s="15">
        <f t="shared" si="20"/>
        <v>840</v>
      </c>
    </row>
    <row r="142" spans="1:21" x14ac:dyDescent="0.25">
      <c r="A142" s="7" t="s">
        <v>195</v>
      </c>
      <c r="B142" s="7" t="s">
        <v>194</v>
      </c>
      <c r="C142" s="8" t="str">
        <f>IFERROR(INDEX(Lists!$B$5:$B$34,MATCH(B142,Lists!$A$5:$A$34,0)),"")</f>
        <v>Emerson Mercer</v>
      </c>
      <c r="D142" s="8" t="str">
        <f>IFERROR(INDEX(Lists!$C$5:$C$34,MATCH(B142,Lists!$A$5:$A$34,0)),"")</f>
        <v>Estimator</v>
      </c>
      <c r="E142" s="9">
        <v>46280</v>
      </c>
      <c r="F142" s="10" t="str">
        <f t="shared" si="14"/>
        <v>Tue</v>
      </c>
      <c r="G142" s="7" t="s">
        <v>41</v>
      </c>
      <c r="H142" s="8" t="str">
        <f>IFERROR(INDEX(Lists!$F$5:$F$9,MATCH(G142,Lists!$E$5:$E$9,0)),"")</f>
        <v>Alder Energy (fictional)</v>
      </c>
      <c r="I142" s="8" t="str">
        <f>IFERROR(INDEX(Lists!$G$5:$G$9,MATCH(G142,Lists!$E$5:$E$9,0)),"")</f>
        <v>Y</v>
      </c>
      <c r="J142" s="11">
        <v>4</v>
      </c>
      <c r="K142" s="12">
        <v>105</v>
      </c>
      <c r="L142" s="13">
        <f>IF(I142&lt;&gt;"Y","",IFERROR(INDEX(Lists!$L$5:$L$20,MATCH(D142&amp;"|"&amp;G142,Lists!$I$5:$I$20,0)),""))</f>
        <v>105</v>
      </c>
      <c r="M142" s="10" t="str">
        <f t="shared" si="15"/>
        <v>E013|20260915|P101</v>
      </c>
      <c r="N142" s="10" t="str">
        <f>IF(COUNTIFS($M$5:M142,M142)&gt;1,"DUPLICATE","")</f>
        <v/>
      </c>
      <c r="O142" s="10" t="str">
        <f t="shared" si="16"/>
        <v/>
      </c>
      <c r="P142" s="10" t="str">
        <f t="shared" si="17"/>
        <v/>
      </c>
      <c r="Q142" s="10" t="str">
        <f>IF(COUNTIF(Lists!$E$5:$E$9,G142)=0,"PROJECT?","")</f>
        <v/>
      </c>
      <c r="R142" s="10" t="str">
        <f t="shared" si="18"/>
        <v/>
      </c>
      <c r="S142" s="10" t="str">
        <f>IF(AND(I142="Y",N142="",COUNTIF(Billing_Data!$H$5:$H$319,M142)=0),"NOT BILLED","")</f>
        <v/>
      </c>
      <c r="T142" s="14">
        <f t="shared" si="19"/>
        <v>0</v>
      </c>
      <c r="U142" s="15">
        <f t="shared" si="20"/>
        <v>420</v>
      </c>
    </row>
    <row r="143" spans="1:21" x14ac:dyDescent="0.25">
      <c r="A143" s="7" t="s">
        <v>196</v>
      </c>
      <c r="B143" s="7" t="s">
        <v>194</v>
      </c>
      <c r="C143" s="8" t="str">
        <f>IFERROR(INDEX(Lists!$B$5:$B$34,MATCH(B143,Lists!$A$5:$A$34,0)),"")</f>
        <v>Emerson Mercer</v>
      </c>
      <c r="D143" s="8" t="str">
        <f>IFERROR(INDEX(Lists!$C$5:$C$34,MATCH(B143,Lists!$A$5:$A$34,0)),"")</f>
        <v>Estimator</v>
      </c>
      <c r="E143" s="9">
        <v>46280</v>
      </c>
      <c r="F143" s="10" t="str">
        <f t="shared" si="14"/>
        <v>Tue</v>
      </c>
      <c r="G143" s="7" t="s">
        <v>50</v>
      </c>
      <c r="H143" s="8" t="str">
        <f>IFERROR(INDEX(Lists!$F$5:$F$9,MATCH(G143,Lists!$E$5:$E$9,0)),"")</f>
        <v>Cedar Industrial (fictional)</v>
      </c>
      <c r="I143" s="8" t="str">
        <f>IFERROR(INDEX(Lists!$G$5:$G$9,MATCH(G143,Lists!$E$5:$E$9,0)),"")</f>
        <v>Y</v>
      </c>
      <c r="J143" s="11">
        <v>4</v>
      </c>
      <c r="K143" s="12">
        <v>100</v>
      </c>
      <c r="L143" s="13">
        <f>IF(I143&lt;&gt;"Y","",IFERROR(INDEX(Lists!$L$5:$L$20,MATCH(D143&amp;"|"&amp;G143,Lists!$I$5:$I$20,0)),""))</f>
        <v>100</v>
      </c>
      <c r="M143" s="10" t="str">
        <f t="shared" si="15"/>
        <v>E013|20260915|P103</v>
      </c>
      <c r="N143" s="10" t="str">
        <f>IF(COUNTIFS($M$5:M143,M143)&gt;1,"DUPLICATE","")</f>
        <v/>
      </c>
      <c r="O143" s="10" t="str">
        <f t="shared" si="16"/>
        <v/>
      </c>
      <c r="P143" s="10" t="str">
        <f t="shared" si="17"/>
        <v/>
      </c>
      <c r="Q143" s="10" t="str">
        <f>IF(COUNTIF(Lists!$E$5:$E$9,G143)=0,"PROJECT?","")</f>
        <v/>
      </c>
      <c r="R143" s="10" t="str">
        <f t="shared" si="18"/>
        <v/>
      </c>
      <c r="S143" s="10" t="str">
        <f>IF(AND(I143="Y",N143="",COUNTIF(Billing_Data!$H$5:$H$319,M143)=0),"NOT BILLED","")</f>
        <v/>
      </c>
      <c r="T143" s="14">
        <f t="shared" si="19"/>
        <v>0</v>
      </c>
      <c r="U143" s="15">
        <f t="shared" si="20"/>
        <v>400</v>
      </c>
    </row>
    <row r="144" spans="1:21" x14ac:dyDescent="0.25">
      <c r="A144" s="7" t="s">
        <v>197</v>
      </c>
      <c r="B144" s="7" t="s">
        <v>194</v>
      </c>
      <c r="C144" s="8" t="str">
        <f>IFERROR(INDEX(Lists!$B$5:$B$34,MATCH(B144,Lists!$A$5:$A$34,0)),"")</f>
        <v>Emerson Mercer</v>
      </c>
      <c r="D144" s="8" t="str">
        <f>IFERROR(INDEX(Lists!$C$5:$C$34,MATCH(B144,Lists!$A$5:$A$34,0)),"")</f>
        <v>Estimator</v>
      </c>
      <c r="E144" s="9">
        <v>46281</v>
      </c>
      <c r="F144" s="10" t="str">
        <f t="shared" si="14"/>
        <v>Wed</v>
      </c>
      <c r="G144" s="7" t="s">
        <v>41</v>
      </c>
      <c r="H144" s="8" t="str">
        <f>IFERROR(INDEX(Lists!$F$5:$F$9,MATCH(G144,Lists!$E$5:$E$9,0)),"")</f>
        <v>Alder Energy (fictional)</v>
      </c>
      <c r="I144" s="8" t="str">
        <f>IFERROR(INDEX(Lists!$G$5:$G$9,MATCH(G144,Lists!$E$5:$E$9,0)),"")</f>
        <v>Y</v>
      </c>
      <c r="J144" s="11">
        <v>8</v>
      </c>
      <c r="K144" s="12">
        <v>105</v>
      </c>
      <c r="L144" s="13">
        <f>IF(I144&lt;&gt;"Y","",IFERROR(INDEX(Lists!$L$5:$L$20,MATCH(D144&amp;"|"&amp;G144,Lists!$I$5:$I$20,0)),""))</f>
        <v>105</v>
      </c>
      <c r="M144" s="10" t="str">
        <f t="shared" si="15"/>
        <v>E013|20260916|P101</v>
      </c>
      <c r="N144" s="10" t="str">
        <f>IF(COUNTIFS($M$5:M144,M144)&gt;1,"DUPLICATE","")</f>
        <v/>
      </c>
      <c r="O144" s="10" t="str">
        <f t="shared" si="16"/>
        <v/>
      </c>
      <c r="P144" s="10" t="str">
        <f t="shared" si="17"/>
        <v/>
      </c>
      <c r="Q144" s="10" t="str">
        <f>IF(COUNTIF(Lists!$E$5:$E$9,G144)=0,"PROJECT?","")</f>
        <v/>
      </c>
      <c r="R144" s="10" t="str">
        <f t="shared" si="18"/>
        <v/>
      </c>
      <c r="S144" s="10" t="str">
        <f>IF(AND(I144="Y",N144="",COUNTIF(Billing_Data!$H$5:$H$319,M144)=0),"NOT BILLED","")</f>
        <v/>
      </c>
      <c r="T144" s="14">
        <f t="shared" si="19"/>
        <v>0</v>
      </c>
      <c r="U144" s="15">
        <f t="shared" si="20"/>
        <v>840</v>
      </c>
    </row>
    <row r="145" spans="1:21" x14ac:dyDescent="0.25">
      <c r="A145" s="7" t="s">
        <v>198</v>
      </c>
      <c r="B145" s="7" t="s">
        <v>194</v>
      </c>
      <c r="C145" s="8" t="str">
        <f>IFERROR(INDEX(Lists!$B$5:$B$34,MATCH(B145,Lists!$A$5:$A$34,0)),"")</f>
        <v>Emerson Mercer</v>
      </c>
      <c r="D145" s="8" t="str">
        <f>IFERROR(INDEX(Lists!$C$5:$C$34,MATCH(B145,Lists!$A$5:$A$34,0)),"")</f>
        <v>Estimator</v>
      </c>
      <c r="E145" s="9">
        <v>46282</v>
      </c>
      <c r="F145" s="10" t="str">
        <f t="shared" si="14"/>
        <v>Thu</v>
      </c>
      <c r="G145" s="7" t="s">
        <v>41</v>
      </c>
      <c r="H145" s="8" t="str">
        <f>IFERROR(INDEX(Lists!$F$5:$F$9,MATCH(G145,Lists!$E$5:$E$9,0)),"")</f>
        <v>Alder Energy (fictional)</v>
      </c>
      <c r="I145" s="8" t="str">
        <f>IFERROR(INDEX(Lists!$G$5:$G$9,MATCH(G145,Lists!$E$5:$E$9,0)),"")</f>
        <v>Y</v>
      </c>
      <c r="J145" s="11">
        <v>8</v>
      </c>
      <c r="K145" s="12">
        <v>105</v>
      </c>
      <c r="L145" s="13">
        <f>IF(I145&lt;&gt;"Y","",IFERROR(INDEX(Lists!$L$5:$L$20,MATCH(D145&amp;"|"&amp;G145,Lists!$I$5:$I$20,0)),""))</f>
        <v>105</v>
      </c>
      <c r="M145" s="10" t="str">
        <f t="shared" si="15"/>
        <v>E013|20260917|P101</v>
      </c>
      <c r="N145" s="10" t="str">
        <f>IF(COUNTIFS($M$5:M145,M145)&gt;1,"DUPLICATE","")</f>
        <v/>
      </c>
      <c r="O145" s="10" t="str">
        <f t="shared" si="16"/>
        <v/>
      </c>
      <c r="P145" s="10" t="str">
        <f t="shared" si="17"/>
        <v/>
      </c>
      <c r="Q145" s="10" t="str">
        <f>IF(COUNTIF(Lists!$E$5:$E$9,G145)=0,"PROJECT?","")</f>
        <v/>
      </c>
      <c r="R145" s="10" t="str">
        <f t="shared" si="18"/>
        <v/>
      </c>
      <c r="S145" s="10" t="str">
        <f>IF(AND(I145="Y",N145="",COUNTIF(Billing_Data!$H$5:$H$319,M145)=0),"NOT BILLED","")</f>
        <v/>
      </c>
      <c r="T145" s="14">
        <f t="shared" si="19"/>
        <v>0</v>
      </c>
      <c r="U145" s="15">
        <f t="shared" si="20"/>
        <v>840</v>
      </c>
    </row>
    <row r="146" spans="1:21" x14ac:dyDescent="0.25">
      <c r="A146" s="7" t="s">
        <v>199</v>
      </c>
      <c r="B146" s="7" t="s">
        <v>194</v>
      </c>
      <c r="C146" s="8" t="str">
        <f>IFERROR(INDEX(Lists!$B$5:$B$34,MATCH(B146,Lists!$A$5:$A$34,0)),"")</f>
        <v>Emerson Mercer</v>
      </c>
      <c r="D146" s="8" t="str">
        <f>IFERROR(INDEX(Lists!$C$5:$C$34,MATCH(B146,Lists!$A$5:$A$34,0)),"")</f>
        <v>Estimator</v>
      </c>
      <c r="E146" s="9">
        <v>46283</v>
      </c>
      <c r="F146" s="10" t="str">
        <f t="shared" si="14"/>
        <v>Fri</v>
      </c>
      <c r="G146" s="7" t="s">
        <v>41</v>
      </c>
      <c r="H146" s="8" t="str">
        <f>IFERROR(INDEX(Lists!$F$5:$F$9,MATCH(G146,Lists!$E$5:$E$9,0)),"")</f>
        <v>Alder Energy (fictional)</v>
      </c>
      <c r="I146" s="8" t="str">
        <f>IFERROR(INDEX(Lists!$G$5:$G$9,MATCH(G146,Lists!$E$5:$E$9,0)),"")</f>
        <v>Y</v>
      </c>
      <c r="J146" s="11">
        <v>8</v>
      </c>
      <c r="K146" s="12">
        <v>105</v>
      </c>
      <c r="L146" s="13">
        <f>IF(I146&lt;&gt;"Y","",IFERROR(INDEX(Lists!$L$5:$L$20,MATCH(D146&amp;"|"&amp;G146,Lists!$I$5:$I$20,0)),""))</f>
        <v>105</v>
      </c>
      <c r="M146" s="10" t="str">
        <f t="shared" si="15"/>
        <v>E013|20260918|P101</v>
      </c>
      <c r="N146" s="10" t="str">
        <f>IF(COUNTIFS($M$5:M146,M146)&gt;1,"DUPLICATE","")</f>
        <v/>
      </c>
      <c r="O146" s="10" t="str">
        <f t="shared" si="16"/>
        <v/>
      </c>
      <c r="P146" s="10" t="str">
        <f t="shared" si="17"/>
        <v/>
      </c>
      <c r="Q146" s="10" t="str">
        <f>IF(COUNTIF(Lists!$E$5:$E$9,G146)=0,"PROJECT?","")</f>
        <v/>
      </c>
      <c r="R146" s="10" t="str">
        <f t="shared" si="18"/>
        <v/>
      </c>
      <c r="S146" s="10" t="str">
        <f>IF(AND(I146="Y",N146="",COUNTIF(Billing_Data!$H$5:$H$319,M146)=0),"NOT BILLED","")</f>
        <v/>
      </c>
      <c r="T146" s="14">
        <f t="shared" si="19"/>
        <v>0</v>
      </c>
      <c r="U146" s="15">
        <f t="shared" si="20"/>
        <v>840</v>
      </c>
    </row>
    <row r="147" spans="1:21" x14ac:dyDescent="0.25">
      <c r="A147" s="7" t="s">
        <v>200</v>
      </c>
      <c r="B147" s="7" t="s">
        <v>194</v>
      </c>
      <c r="C147" s="8" t="str">
        <f>IFERROR(INDEX(Lists!$B$5:$B$34,MATCH(B147,Lists!$A$5:$A$34,0)),"")</f>
        <v>Emerson Mercer</v>
      </c>
      <c r="D147" s="8" t="str">
        <f>IFERROR(INDEX(Lists!$C$5:$C$34,MATCH(B147,Lists!$A$5:$A$34,0)),"")</f>
        <v>Estimator</v>
      </c>
      <c r="E147" s="9">
        <v>46286</v>
      </c>
      <c r="F147" s="10" t="str">
        <f t="shared" si="14"/>
        <v>Mon</v>
      </c>
      <c r="G147" s="7" t="s">
        <v>41</v>
      </c>
      <c r="H147" s="8" t="str">
        <f>IFERROR(INDEX(Lists!$F$5:$F$9,MATCH(G147,Lists!$E$5:$E$9,0)),"")</f>
        <v>Alder Energy (fictional)</v>
      </c>
      <c r="I147" s="8" t="str">
        <f>IFERROR(INDEX(Lists!$G$5:$G$9,MATCH(G147,Lists!$E$5:$E$9,0)),"")</f>
        <v>Y</v>
      </c>
      <c r="J147" s="11">
        <v>8</v>
      </c>
      <c r="K147" s="12">
        <v>105</v>
      </c>
      <c r="L147" s="13">
        <f>IF(I147&lt;&gt;"Y","",IFERROR(INDEX(Lists!$L$5:$L$20,MATCH(D147&amp;"|"&amp;G147,Lists!$I$5:$I$20,0)),""))</f>
        <v>105</v>
      </c>
      <c r="M147" s="10" t="str">
        <f t="shared" si="15"/>
        <v>E013|20260921|P101</v>
      </c>
      <c r="N147" s="10" t="str">
        <f>IF(COUNTIFS($M$5:M147,M147)&gt;1,"DUPLICATE","")</f>
        <v/>
      </c>
      <c r="O147" s="10" t="str">
        <f t="shared" si="16"/>
        <v/>
      </c>
      <c r="P147" s="10" t="str">
        <f t="shared" si="17"/>
        <v/>
      </c>
      <c r="Q147" s="10" t="str">
        <f>IF(COUNTIF(Lists!$E$5:$E$9,G147)=0,"PROJECT?","")</f>
        <v/>
      </c>
      <c r="R147" s="10" t="str">
        <f t="shared" si="18"/>
        <v/>
      </c>
      <c r="S147" s="10" t="str">
        <f>IF(AND(I147="Y",N147="",COUNTIF(Billing_Data!$H$5:$H$319,M147)=0),"NOT BILLED","")</f>
        <v/>
      </c>
      <c r="T147" s="14">
        <f t="shared" si="19"/>
        <v>0</v>
      </c>
      <c r="U147" s="15">
        <f t="shared" si="20"/>
        <v>840</v>
      </c>
    </row>
    <row r="148" spans="1:21" x14ac:dyDescent="0.25">
      <c r="A148" s="7" t="s">
        <v>201</v>
      </c>
      <c r="B148" s="7" t="s">
        <v>194</v>
      </c>
      <c r="C148" s="8" t="str">
        <f>IFERROR(INDEX(Lists!$B$5:$B$34,MATCH(B148,Lists!$A$5:$A$34,0)),"")</f>
        <v>Emerson Mercer</v>
      </c>
      <c r="D148" s="8" t="str">
        <f>IFERROR(INDEX(Lists!$C$5:$C$34,MATCH(B148,Lists!$A$5:$A$34,0)),"")</f>
        <v>Estimator</v>
      </c>
      <c r="E148" s="9">
        <v>46287</v>
      </c>
      <c r="F148" s="10" t="str">
        <f t="shared" si="14"/>
        <v>Tue</v>
      </c>
      <c r="G148" s="7" t="s">
        <v>41</v>
      </c>
      <c r="H148" s="8" t="str">
        <f>IFERROR(INDEX(Lists!$F$5:$F$9,MATCH(G148,Lists!$E$5:$E$9,0)),"")</f>
        <v>Alder Energy (fictional)</v>
      </c>
      <c r="I148" s="8" t="str">
        <f>IFERROR(INDEX(Lists!$G$5:$G$9,MATCH(G148,Lists!$E$5:$E$9,0)),"")</f>
        <v>Y</v>
      </c>
      <c r="J148" s="11">
        <v>8</v>
      </c>
      <c r="K148" s="12">
        <v>105</v>
      </c>
      <c r="L148" s="13">
        <f>IF(I148&lt;&gt;"Y","",IFERROR(INDEX(Lists!$L$5:$L$20,MATCH(D148&amp;"|"&amp;G148,Lists!$I$5:$I$20,0)),""))</f>
        <v>105</v>
      </c>
      <c r="M148" s="10" t="str">
        <f t="shared" si="15"/>
        <v>E013|20260922|P101</v>
      </c>
      <c r="N148" s="10" t="str">
        <f>IF(COUNTIFS($M$5:M148,M148)&gt;1,"DUPLICATE","")</f>
        <v/>
      </c>
      <c r="O148" s="10" t="str">
        <f t="shared" si="16"/>
        <v/>
      </c>
      <c r="P148" s="10" t="str">
        <f t="shared" si="17"/>
        <v/>
      </c>
      <c r="Q148" s="10" t="str">
        <f>IF(COUNTIF(Lists!$E$5:$E$9,G148)=0,"PROJECT?","")</f>
        <v/>
      </c>
      <c r="R148" s="10" t="str">
        <f t="shared" si="18"/>
        <v/>
      </c>
      <c r="S148" s="10" t="str">
        <f>IF(AND(I148="Y",N148="",COUNTIF(Billing_Data!$H$5:$H$319,M148)=0),"NOT BILLED","")</f>
        <v/>
      </c>
      <c r="T148" s="14">
        <f t="shared" si="19"/>
        <v>0</v>
      </c>
      <c r="U148" s="15">
        <f t="shared" si="20"/>
        <v>840</v>
      </c>
    </row>
    <row r="149" spans="1:21" x14ac:dyDescent="0.25">
      <c r="A149" s="7" t="s">
        <v>202</v>
      </c>
      <c r="B149" s="7" t="s">
        <v>194</v>
      </c>
      <c r="C149" s="8" t="str">
        <f>IFERROR(INDEX(Lists!$B$5:$B$34,MATCH(B149,Lists!$A$5:$A$34,0)),"")</f>
        <v>Emerson Mercer</v>
      </c>
      <c r="D149" s="8" t="str">
        <f>IFERROR(INDEX(Lists!$C$5:$C$34,MATCH(B149,Lists!$A$5:$A$34,0)),"")</f>
        <v>Estimator</v>
      </c>
      <c r="E149" s="9">
        <v>46288</v>
      </c>
      <c r="F149" s="10" t="str">
        <f t="shared" si="14"/>
        <v>Wed</v>
      </c>
      <c r="G149" s="7" t="s">
        <v>41</v>
      </c>
      <c r="H149" s="8" t="str">
        <f>IFERROR(INDEX(Lists!$F$5:$F$9,MATCH(G149,Lists!$E$5:$E$9,0)),"")</f>
        <v>Alder Energy (fictional)</v>
      </c>
      <c r="I149" s="8" t="str">
        <f>IFERROR(INDEX(Lists!$G$5:$G$9,MATCH(G149,Lists!$E$5:$E$9,0)),"")</f>
        <v>Y</v>
      </c>
      <c r="J149" s="11">
        <v>8</v>
      </c>
      <c r="K149" s="12">
        <v>105</v>
      </c>
      <c r="L149" s="13">
        <f>IF(I149&lt;&gt;"Y","",IFERROR(INDEX(Lists!$L$5:$L$20,MATCH(D149&amp;"|"&amp;G149,Lists!$I$5:$I$20,0)),""))</f>
        <v>105</v>
      </c>
      <c r="M149" s="10" t="str">
        <f t="shared" si="15"/>
        <v>E013|20260923|P101</v>
      </c>
      <c r="N149" s="10" t="str">
        <f>IF(COUNTIFS($M$5:M149,M149)&gt;1,"DUPLICATE","")</f>
        <v/>
      </c>
      <c r="O149" s="10" t="str">
        <f t="shared" si="16"/>
        <v/>
      </c>
      <c r="P149" s="10" t="str">
        <f t="shared" si="17"/>
        <v/>
      </c>
      <c r="Q149" s="10" t="str">
        <f>IF(COUNTIF(Lists!$E$5:$E$9,G149)=0,"PROJECT?","")</f>
        <v/>
      </c>
      <c r="R149" s="10" t="str">
        <f t="shared" si="18"/>
        <v/>
      </c>
      <c r="S149" s="10" t="str">
        <f>IF(AND(I149="Y",N149="",COUNTIF(Billing_Data!$H$5:$H$319,M149)=0),"NOT BILLED","")</f>
        <v/>
      </c>
      <c r="T149" s="14">
        <f t="shared" si="19"/>
        <v>0</v>
      </c>
      <c r="U149" s="15">
        <f t="shared" si="20"/>
        <v>840</v>
      </c>
    </row>
    <row r="150" spans="1:21" x14ac:dyDescent="0.25">
      <c r="A150" s="7" t="s">
        <v>203</v>
      </c>
      <c r="B150" s="7" t="s">
        <v>194</v>
      </c>
      <c r="C150" s="8" t="str">
        <f>IFERROR(INDEX(Lists!$B$5:$B$34,MATCH(B150,Lists!$A$5:$A$34,0)),"")</f>
        <v>Emerson Mercer</v>
      </c>
      <c r="D150" s="8" t="str">
        <f>IFERROR(INDEX(Lists!$C$5:$C$34,MATCH(B150,Lists!$A$5:$A$34,0)),"")</f>
        <v>Estimator</v>
      </c>
      <c r="E150" s="9">
        <v>46289</v>
      </c>
      <c r="F150" s="10" t="str">
        <f t="shared" si="14"/>
        <v>Thu</v>
      </c>
      <c r="G150" s="7" t="s">
        <v>41</v>
      </c>
      <c r="H150" s="8" t="str">
        <f>IFERROR(INDEX(Lists!$F$5:$F$9,MATCH(G150,Lists!$E$5:$E$9,0)),"")</f>
        <v>Alder Energy (fictional)</v>
      </c>
      <c r="I150" s="8" t="str">
        <f>IFERROR(INDEX(Lists!$G$5:$G$9,MATCH(G150,Lists!$E$5:$E$9,0)),"")</f>
        <v>Y</v>
      </c>
      <c r="J150" s="11">
        <v>8</v>
      </c>
      <c r="K150" s="12">
        <v>105</v>
      </c>
      <c r="L150" s="13">
        <f>IF(I150&lt;&gt;"Y","",IFERROR(INDEX(Lists!$L$5:$L$20,MATCH(D150&amp;"|"&amp;G150,Lists!$I$5:$I$20,0)),""))</f>
        <v>105</v>
      </c>
      <c r="M150" s="10" t="str">
        <f t="shared" si="15"/>
        <v>E013|20260924|P101</v>
      </c>
      <c r="N150" s="10" t="str">
        <f>IF(COUNTIFS($M$5:M150,M150)&gt;1,"DUPLICATE","")</f>
        <v/>
      </c>
      <c r="O150" s="10" t="str">
        <f t="shared" si="16"/>
        <v/>
      </c>
      <c r="P150" s="10" t="str">
        <f t="shared" si="17"/>
        <v/>
      </c>
      <c r="Q150" s="10" t="str">
        <f>IF(COUNTIF(Lists!$E$5:$E$9,G150)=0,"PROJECT?","")</f>
        <v/>
      </c>
      <c r="R150" s="10" t="str">
        <f t="shared" si="18"/>
        <v/>
      </c>
      <c r="S150" s="10" t="str">
        <f>IF(AND(I150="Y",N150="",COUNTIF(Billing_Data!$H$5:$H$319,M150)=0),"NOT BILLED","")</f>
        <v/>
      </c>
      <c r="T150" s="14">
        <f t="shared" si="19"/>
        <v>0</v>
      </c>
      <c r="U150" s="15">
        <f t="shared" si="20"/>
        <v>840</v>
      </c>
    </row>
    <row r="151" spans="1:21" x14ac:dyDescent="0.25">
      <c r="A151" s="7" t="s">
        <v>204</v>
      </c>
      <c r="B151" s="7" t="s">
        <v>194</v>
      </c>
      <c r="C151" s="8" t="str">
        <f>IFERROR(INDEX(Lists!$B$5:$B$34,MATCH(B151,Lists!$A$5:$A$34,0)),"")</f>
        <v>Emerson Mercer</v>
      </c>
      <c r="D151" s="8" t="str">
        <f>IFERROR(INDEX(Lists!$C$5:$C$34,MATCH(B151,Lists!$A$5:$A$34,0)),"")</f>
        <v>Estimator</v>
      </c>
      <c r="E151" s="9">
        <v>46290</v>
      </c>
      <c r="F151" s="10" t="str">
        <f t="shared" si="14"/>
        <v>Fri</v>
      </c>
      <c r="G151" s="7" t="s">
        <v>41</v>
      </c>
      <c r="H151" s="8" t="str">
        <f>IFERROR(INDEX(Lists!$F$5:$F$9,MATCH(G151,Lists!$E$5:$E$9,0)),"")</f>
        <v>Alder Energy (fictional)</v>
      </c>
      <c r="I151" s="8" t="str">
        <f>IFERROR(INDEX(Lists!$G$5:$G$9,MATCH(G151,Lists!$E$5:$E$9,0)),"")</f>
        <v>Y</v>
      </c>
      <c r="J151" s="11">
        <v>8</v>
      </c>
      <c r="K151" s="12">
        <v>105</v>
      </c>
      <c r="L151" s="13">
        <f>IF(I151&lt;&gt;"Y","",IFERROR(INDEX(Lists!$L$5:$L$20,MATCH(D151&amp;"|"&amp;G151,Lists!$I$5:$I$20,0)),""))</f>
        <v>105</v>
      </c>
      <c r="M151" s="10" t="str">
        <f t="shared" si="15"/>
        <v>E013|20260925|P101</v>
      </c>
      <c r="N151" s="10" t="str">
        <f>IF(COUNTIFS($M$5:M151,M151)&gt;1,"DUPLICATE","")</f>
        <v/>
      </c>
      <c r="O151" s="10" t="str">
        <f t="shared" si="16"/>
        <v/>
      </c>
      <c r="P151" s="10" t="str">
        <f t="shared" si="17"/>
        <v/>
      </c>
      <c r="Q151" s="10" t="str">
        <f>IF(COUNTIF(Lists!$E$5:$E$9,G151)=0,"PROJECT?","")</f>
        <v/>
      </c>
      <c r="R151" s="10" t="str">
        <f t="shared" si="18"/>
        <v/>
      </c>
      <c r="S151" s="10" t="str">
        <f>IF(AND(I151="Y",N151="",COUNTIF(Billing_Data!$H$5:$H$319,M151)=0),"NOT BILLED","")</f>
        <v/>
      </c>
      <c r="T151" s="14">
        <f t="shared" si="19"/>
        <v>0</v>
      </c>
      <c r="U151" s="15">
        <f t="shared" si="20"/>
        <v>840</v>
      </c>
    </row>
    <row r="152" spans="1:21" x14ac:dyDescent="0.25">
      <c r="A152" s="7" t="s">
        <v>205</v>
      </c>
      <c r="B152" s="7" t="s">
        <v>206</v>
      </c>
      <c r="C152" s="8" t="str">
        <f>IFERROR(INDEX(Lists!$B$5:$B$34,MATCH(B152,Lists!$A$5:$A$34,0)),"")</f>
        <v>Finley Novak</v>
      </c>
      <c r="D152" s="8" t="str">
        <f>IFERROR(INDEX(Lists!$C$5:$C$34,MATCH(B152,Lists!$A$5:$A$34,0)),"")</f>
        <v>Estimator</v>
      </c>
      <c r="E152" s="9">
        <v>46279</v>
      </c>
      <c r="F152" s="10" t="str">
        <f t="shared" si="14"/>
        <v>Mon</v>
      </c>
      <c r="G152" s="7" t="s">
        <v>46</v>
      </c>
      <c r="H152" s="8" t="str">
        <f>IFERROR(INDEX(Lists!$F$5:$F$9,MATCH(G152,Lists!$E$5:$E$9,0)),"")</f>
        <v>Birchwood Midstream (fictional)</v>
      </c>
      <c r="I152" s="8" t="str">
        <f>IFERROR(INDEX(Lists!$G$5:$G$9,MATCH(G152,Lists!$E$5:$E$9,0)),"")</f>
        <v>Y</v>
      </c>
      <c r="J152" s="11">
        <v>8</v>
      </c>
      <c r="K152" s="12">
        <v>110</v>
      </c>
      <c r="L152" s="13">
        <f>IF(I152&lt;&gt;"Y","",IFERROR(INDEX(Lists!$L$5:$L$20,MATCH(D152&amp;"|"&amp;G152,Lists!$I$5:$I$20,0)),""))</f>
        <v>110</v>
      </c>
      <c r="M152" s="10" t="str">
        <f t="shared" si="15"/>
        <v>E014|20260914|P102</v>
      </c>
      <c r="N152" s="10" t="str">
        <f>IF(COUNTIFS($M$5:M152,M152)&gt;1,"DUPLICATE","")</f>
        <v/>
      </c>
      <c r="O152" s="10" t="str">
        <f t="shared" si="16"/>
        <v/>
      </c>
      <c r="P152" s="10" t="str">
        <f t="shared" si="17"/>
        <v/>
      </c>
      <c r="Q152" s="10" t="str">
        <f>IF(COUNTIF(Lists!$E$5:$E$9,G152)=0,"PROJECT?","")</f>
        <v/>
      </c>
      <c r="R152" s="10" t="str">
        <f t="shared" si="18"/>
        <v/>
      </c>
      <c r="S152" s="10" t="str">
        <f>IF(AND(I152="Y",N152="",COUNTIF(Billing_Data!$H$5:$H$319,M152)=0),"NOT BILLED","")</f>
        <v/>
      </c>
      <c r="T152" s="14">
        <f t="shared" si="19"/>
        <v>0</v>
      </c>
      <c r="U152" s="15">
        <f t="shared" si="20"/>
        <v>880</v>
      </c>
    </row>
    <row r="153" spans="1:21" x14ac:dyDescent="0.25">
      <c r="A153" s="7" t="s">
        <v>207</v>
      </c>
      <c r="B153" s="7" t="s">
        <v>206</v>
      </c>
      <c r="C153" s="8" t="str">
        <f>IFERROR(INDEX(Lists!$B$5:$B$34,MATCH(B153,Lists!$A$5:$A$34,0)),"")</f>
        <v>Finley Novak</v>
      </c>
      <c r="D153" s="8" t="str">
        <f>IFERROR(INDEX(Lists!$C$5:$C$34,MATCH(B153,Lists!$A$5:$A$34,0)),"")</f>
        <v>Estimator</v>
      </c>
      <c r="E153" s="9">
        <v>46280</v>
      </c>
      <c r="F153" s="10" t="str">
        <f t="shared" si="14"/>
        <v>Tue</v>
      </c>
      <c r="G153" s="7" t="s">
        <v>46</v>
      </c>
      <c r="H153" s="8" t="str">
        <f>IFERROR(INDEX(Lists!$F$5:$F$9,MATCH(G153,Lists!$E$5:$E$9,0)),"")</f>
        <v>Birchwood Midstream (fictional)</v>
      </c>
      <c r="I153" s="8" t="str">
        <f>IFERROR(INDEX(Lists!$G$5:$G$9,MATCH(G153,Lists!$E$5:$E$9,0)),"")</f>
        <v>Y</v>
      </c>
      <c r="J153" s="11">
        <v>8</v>
      </c>
      <c r="K153" s="12">
        <v>110</v>
      </c>
      <c r="L153" s="13">
        <f>IF(I153&lt;&gt;"Y","",IFERROR(INDEX(Lists!$L$5:$L$20,MATCH(D153&amp;"|"&amp;G153,Lists!$I$5:$I$20,0)),""))</f>
        <v>110</v>
      </c>
      <c r="M153" s="10" t="str">
        <f t="shared" si="15"/>
        <v>E014|20260915|P102</v>
      </c>
      <c r="N153" s="10" t="str">
        <f>IF(COUNTIFS($M$5:M153,M153)&gt;1,"DUPLICATE","")</f>
        <v/>
      </c>
      <c r="O153" s="10" t="str">
        <f t="shared" si="16"/>
        <v/>
      </c>
      <c r="P153" s="10" t="str">
        <f t="shared" si="17"/>
        <v/>
      </c>
      <c r="Q153" s="10" t="str">
        <f>IF(COUNTIF(Lists!$E$5:$E$9,G153)=0,"PROJECT?","")</f>
        <v/>
      </c>
      <c r="R153" s="10" t="str">
        <f t="shared" si="18"/>
        <v/>
      </c>
      <c r="S153" s="10" t="str">
        <f>IF(AND(I153="Y",N153="",COUNTIF(Billing_Data!$H$5:$H$319,M153)=0),"NOT BILLED","")</f>
        <v/>
      </c>
      <c r="T153" s="14">
        <f t="shared" si="19"/>
        <v>0</v>
      </c>
      <c r="U153" s="15">
        <f t="shared" si="20"/>
        <v>880</v>
      </c>
    </row>
    <row r="154" spans="1:21" x14ac:dyDescent="0.25">
      <c r="A154" s="7" t="s">
        <v>208</v>
      </c>
      <c r="B154" s="7" t="s">
        <v>206</v>
      </c>
      <c r="C154" s="8" t="str">
        <f>IFERROR(INDEX(Lists!$B$5:$B$34,MATCH(B154,Lists!$A$5:$A$34,0)),"")</f>
        <v>Finley Novak</v>
      </c>
      <c r="D154" s="8" t="str">
        <f>IFERROR(INDEX(Lists!$C$5:$C$34,MATCH(B154,Lists!$A$5:$A$34,0)),"")</f>
        <v>Estimator</v>
      </c>
      <c r="E154" s="9">
        <v>46281</v>
      </c>
      <c r="F154" s="10" t="str">
        <f t="shared" si="14"/>
        <v>Wed</v>
      </c>
      <c r="G154" s="7" t="s">
        <v>46</v>
      </c>
      <c r="H154" s="8" t="str">
        <f>IFERROR(INDEX(Lists!$F$5:$F$9,MATCH(G154,Lists!$E$5:$E$9,0)),"")</f>
        <v>Birchwood Midstream (fictional)</v>
      </c>
      <c r="I154" s="8" t="str">
        <f>IFERROR(INDEX(Lists!$G$5:$G$9,MATCH(G154,Lists!$E$5:$E$9,0)),"")</f>
        <v>Y</v>
      </c>
      <c r="J154" s="11">
        <v>4</v>
      </c>
      <c r="K154" s="12">
        <v>110</v>
      </c>
      <c r="L154" s="13">
        <f>IF(I154&lt;&gt;"Y","",IFERROR(INDEX(Lists!$L$5:$L$20,MATCH(D154&amp;"|"&amp;G154,Lists!$I$5:$I$20,0)),""))</f>
        <v>110</v>
      </c>
      <c r="M154" s="10" t="str">
        <f t="shared" si="15"/>
        <v>E014|20260916|P102</v>
      </c>
      <c r="N154" s="10" t="str">
        <f>IF(COUNTIFS($M$5:M154,M154)&gt;1,"DUPLICATE","")</f>
        <v/>
      </c>
      <c r="O154" s="10" t="str">
        <f t="shared" si="16"/>
        <v/>
      </c>
      <c r="P154" s="10" t="str">
        <f t="shared" si="17"/>
        <v/>
      </c>
      <c r="Q154" s="10" t="str">
        <f>IF(COUNTIF(Lists!$E$5:$E$9,G154)=0,"PROJECT?","")</f>
        <v/>
      </c>
      <c r="R154" s="10" t="str">
        <f t="shared" si="18"/>
        <v/>
      </c>
      <c r="S154" s="10" t="str">
        <f>IF(AND(I154="Y",N154="",COUNTIF(Billing_Data!$H$5:$H$319,M154)=0),"NOT BILLED","")</f>
        <v/>
      </c>
      <c r="T154" s="14">
        <f t="shared" si="19"/>
        <v>0</v>
      </c>
      <c r="U154" s="15">
        <f t="shared" si="20"/>
        <v>440</v>
      </c>
    </row>
    <row r="155" spans="1:21" x14ac:dyDescent="0.25">
      <c r="A155" s="7" t="s">
        <v>209</v>
      </c>
      <c r="B155" s="7" t="s">
        <v>206</v>
      </c>
      <c r="C155" s="8" t="str">
        <f>IFERROR(INDEX(Lists!$B$5:$B$34,MATCH(B155,Lists!$A$5:$A$34,0)),"")</f>
        <v>Finley Novak</v>
      </c>
      <c r="D155" s="8" t="str">
        <f>IFERROR(INDEX(Lists!$C$5:$C$34,MATCH(B155,Lists!$A$5:$A$34,0)),"")</f>
        <v>Estimator</v>
      </c>
      <c r="E155" s="9">
        <v>46281</v>
      </c>
      <c r="F155" s="10" t="str">
        <f t="shared" si="14"/>
        <v>Wed</v>
      </c>
      <c r="G155" s="7" t="s">
        <v>41</v>
      </c>
      <c r="H155" s="8" t="str">
        <f>IFERROR(INDEX(Lists!$F$5:$F$9,MATCH(G155,Lists!$E$5:$E$9,0)),"")</f>
        <v>Alder Energy (fictional)</v>
      </c>
      <c r="I155" s="8" t="str">
        <f>IFERROR(INDEX(Lists!$G$5:$G$9,MATCH(G155,Lists!$E$5:$E$9,0)),"")</f>
        <v>Y</v>
      </c>
      <c r="J155" s="11">
        <v>4</v>
      </c>
      <c r="K155" s="12">
        <v>105</v>
      </c>
      <c r="L155" s="13">
        <f>IF(I155&lt;&gt;"Y","",IFERROR(INDEX(Lists!$L$5:$L$20,MATCH(D155&amp;"|"&amp;G155,Lists!$I$5:$I$20,0)),""))</f>
        <v>105</v>
      </c>
      <c r="M155" s="10" t="str">
        <f t="shared" si="15"/>
        <v>E014|20260916|P101</v>
      </c>
      <c r="N155" s="10" t="str">
        <f>IF(COUNTIFS($M$5:M155,M155)&gt;1,"DUPLICATE","")</f>
        <v/>
      </c>
      <c r="O155" s="10" t="str">
        <f t="shared" si="16"/>
        <v/>
      </c>
      <c r="P155" s="10" t="str">
        <f t="shared" si="17"/>
        <v/>
      </c>
      <c r="Q155" s="10" t="str">
        <f>IF(COUNTIF(Lists!$E$5:$E$9,G155)=0,"PROJECT?","")</f>
        <v/>
      </c>
      <c r="R155" s="10" t="str">
        <f t="shared" si="18"/>
        <v/>
      </c>
      <c r="S155" s="10" t="str">
        <f>IF(AND(I155="Y",N155="",COUNTIF(Billing_Data!$H$5:$H$319,M155)=0),"NOT BILLED","")</f>
        <v/>
      </c>
      <c r="T155" s="14">
        <f t="shared" si="19"/>
        <v>0</v>
      </c>
      <c r="U155" s="15">
        <f t="shared" si="20"/>
        <v>420</v>
      </c>
    </row>
    <row r="156" spans="1:21" x14ac:dyDescent="0.25">
      <c r="A156" s="7" t="s">
        <v>210</v>
      </c>
      <c r="B156" s="7" t="s">
        <v>206</v>
      </c>
      <c r="C156" s="8" t="str">
        <f>IFERROR(INDEX(Lists!$B$5:$B$34,MATCH(B156,Lists!$A$5:$A$34,0)),"")</f>
        <v>Finley Novak</v>
      </c>
      <c r="D156" s="8" t="str">
        <f>IFERROR(INDEX(Lists!$C$5:$C$34,MATCH(B156,Lists!$A$5:$A$34,0)),"")</f>
        <v>Estimator</v>
      </c>
      <c r="E156" s="9">
        <v>46282</v>
      </c>
      <c r="F156" s="10" t="str">
        <f t="shared" si="14"/>
        <v>Thu</v>
      </c>
      <c r="G156" s="7" t="s">
        <v>46</v>
      </c>
      <c r="H156" s="8" t="str">
        <f>IFERROR(INDEX(Lists!$F$5:$F$9,MATCH(G156,Lists!$E$5:$E$9,0)),"")</f>
        <v>Birchwood Midstream (fictional)</v>
      </c>
      <c r="I156" s="8" t="str">
        <f>IFERROR(INDEX(Lists!$G$5:$G$9,MATCH(G156,Lists!$E$5:$E$9,0)),"")</f>
        <v>Y</v>
      </c>
      <c r="J156" s="11">
        <v>8</v>
      </c>
      <c r="K156" s="12">
        <v>110</v>
      </c>
      <c r="L156" s="13">
        <f>IF(I156&lt;&gt;"Y","",IFERROR(INDEX(Lists!$L$5:$L$20,MATCH(D156&amp;"|"&amp;G156,Lists!$I$5:$I$20,0)),""))</f>
        <v>110</v>
      </c>
      <c r="M156" s="10" t="str">
        <f t="shared" si="15"/>
        <v>E014|20260917|P102</v>
      </c>
      <c r="N156" s="10" t="str">
        <f>IF(COUNTIFS($M$5:M156,M156)&gt;1,"DUPLICATE","")</f>
        <v/>
      </c>
      <c r="O156" s="10" t="str">
        <f t="shared" si="16"/>
        <v/>
      </c>
      <c r="P156" s="10" t="str">
        <f t="shared" si="17"/>
        <v/>
      </c>
      <c r="Q156" s="10" t="str">
        <f>IF(COUNTIF(Lists!$E$5:$E$9,G156)=0,"PROJECT?","")</f>
        <v/>
      </c>
      <c r="R156" s="10" t="str">
        <f t="shared" si="18"/>
        <v/>
      </c>
      <c r="S156" s="10" t="str">
        <f>IF(AND(I156="Y",N156="",COUNTIF(Billing_Data!$H$5:$H$319,M156)=0),"NOT BILLED","")</f>
        <v/>
      </c>
      <c r="T156" s="14">
        <f t="shared" si="19"/>
        <v>0</v>
      </c>
      <c r="U156" s="15">
        <f t="shared" si="20"/>
        <v>880</v>
      </c>
    </row>
    <row r="157" spans="1:21" x14ac:dyDescent="0.25">
      <c r="A157" s="7" t="s">
        <v>211</v>
      </c>
      <c r="B157" s="7" t="s">
        <v>206</v>
      </c>
      <c r="C157" s="8" t="str">
        <f>IFERROR(INDEX(Lists!$B$5:$B$34,MATCH(B157,Lists!$A$5:$A$34,0)),"")</f>
        <v>Finley Novak</v>
      </c>
      <c r="D157" s="8" t="str">
        <f>IFERROR(INDEX(Lists!$C$5:$C$34,MATCH(B157,Lists!$A$5:$A$34,0)),"")</f>
        <v>Estimator</v>
      </c>
      <c r="E157" s="9">
        <v>46283</v>
      </c>
      <c r="F157" s="10" t="str">
        <f t="shared" si="14"/>
        <v>Fri</v>
      </c>
      <c r="G157" s="7" t="s">
        <v>46</v>
      </c>
      <c r="H157" s="8" t="str">
        <f>IFERROR(INDEX(Lists!$F$5:$F$9,MATCH(G157,Lists!$E$5:$E$9,0)),"")</f>
        <v>Birchwood Midstream (fictional)</v>
      </c>
      <c r="I157" s="8" t="str">
        <f>IFERROR(INDEX(Lists!$G$5:$G$9,MATCH(G157,Lists!$E$5:$E$9,0)),"")</f>
        <v>Y</v>
      </c>
      <c r="J157" s="11">
        <v>8</v>
      </c>
      <c r="K157" s="12">
        <v>110</v>
      </c>
      <c r="L157" s="13">
        <f>IF(I157&lt;&gt;"Y","",IFERROR(INDEX(Lists!$L$5:$L$20,MATCH(D157&amp;"|"&amp;G157,Lists!$I$5:$I$20,0)),""))</f>
        <v>110</v>
      </c>
      <c r="M157" s="10" t="str">
        <f t="shared" si="15"/>
        <v>E014|20260918|P102</v>
      </c>
      <c r="N157" s="10" t="str">
        <f>IF(COUNTIFS($M$5:M157,M157)&gt;1,"DUPLICATE","")</f>
        <v/>
      </c>
      <c r="O157" s="10" t="str">
        <f t="shared" si="16"/>
        <v/>
      </c>
      <c r="P157" s="10" t="str">
        <f t="shared" si="17"/>
        <v/>
      </c>
      <c r="Q157" s="10" t="str">
        <f>IF(COUNTIF(Lists!$E$5:$E$9,G157)=0,"PROJECT?","")</f>
        <v/>
      </c>
      <c r="R157" s="10" t="str">
        <f t="shared" si="18"/>
        <v/>
      </c>
      <c r="S157" s="10" t="str">
        <f>IF(AND(I157="Y",N157="",COUNTIF(Billing_Data!$H$5:$H$319,M157)=0),"NOT BILLED","")</f>
        <v/>
      </c>
      <c r="T157" s="14">
        <f t="shared" si="19"/>
        <v>0</v>
      </c>
      <c r="U157" s="15">
        <f t="shared" si="20"/>
        <v>880</v>
      </c>
    </row>
    <row r="158" spans="1:21" x14ac:dyDescent="0.25">
      <c r="A158" s="7" t="s">
        <v>212</v>
      </c>
      <c r="B158" s="7" t="s">
        <v>206</v>
      </c>
      <c r="C158" s="8" t="str">
        <f>IFERROR(INDEX(Lists!$B$5:$B$34,MATCH(B158,Lists!$A$5:$A$34,0)),"")</f>
        <v>Finley Novak</v>
      </c>
      <c r="D158" s="8" t="str">
        <f>IFERROR(INDEX(Lists!$C$5:$C$34,MATCH(B158,Lists!$A$5:$A$34,0)),"")</f>
        <v>Estimator</v>
      </c>
      <c r="E158" s="9">
        <v>46287</v>
      </c>
      <c r="F158" s="10" t="str">
        <f t="shared" si="14"/>
        <v>Tue</v>
      </c>
      <c r="G158" s="7" t="s">
        <v>46</v>
      </c>
      <c r="H158" s="8" t="str">
        <f>IFERROR(INDEX(Lists!$F$5:$F$9,MATCH(G158,Lists!$E$5:$E$9,0)),"")</f>
        <v>Birchwood Midstream (fictional)</v>
      </c>
      <c r="I158" s="8" t="str">
        <f>IFERROR(INDEX(Lists!$G$5:$G$9,MATCH(G158,Lists!$E$5:$E$9,0)),"")</f>
        <v>Y</v>
      </c>
      <c r="J158" s="11">
        <v>8</v>
      </c>
      <c r="K158" s="12">
        <v>110</v>
      </c>
      <c r="L158" s="13">
        <f>IF(I158&lt;&gt;"Y","",IFERROR(INDEX(Lists!$L$5:$L$20,MATCH(D158&amp;"|"&amp;G158,Lists!$I$5:$I$20,0)),""))</f>
        <v>110</v>
      </c>
      <c r="M158" s="10" t="str">
        <f t="shared" si="15"/>
        <v>E014|20260922|P102</v>
      </c>
      <c r="N158" s="10" t="str">
        <f>IF(COUNTIFS($M$5:M158,M158)&gt;1,"DUPLICATE","")</f>
        <v/>
      </c>
      <c r="O158" s="10" t="str">
        <f t="shared" si="16"/>
        <v/>
      </c>
      <c r="P158" s="10" t="str">
        <f t="shared" si="17"/>
        <v/>
      </c>
      <c r="Q158" s="10" t="str">
        <f>IF(COUNTIF(Lists!$E$5:$E$9,G158)=0,"PROJECT?","")</f>
        <v/>
      </c>
      <c r="R158" s="10" t="str">
        <f t="shared" si="18"/>
        <v/>
      </c>
      <c r="S158" s="10" t="str">
        <f>IF(AND(I158="Y",N158="",COUNTIF(Billing_Data!$H$5:$H$319,M158)=0),"NOT BILLED","")</f>
        <v/>
      </c>
      <c r="T158" s="14">
        <f t="shared" si="19"/>
        <v>0</v>
      </c>
      <c r="U158" s="15">
        <f t="shared" si="20"/>
        <v>880</v>
      </c>
    </row>
    <row r="159" spans="1:21" x14ac:dyDescent="0.25">
      <c r="A159" s="7" t="s">
        <v>213</v>
      </c>
      <c r="B159" s="7" t="s">
        <v>206</v>
      </c>
      <c r="C159" s="8" t="str">
        <f>IFERROR(INDEX(Lists!$B$5:$B$34,MATCH(B159,Lists!$A$5:$A$34,0)),"")</f>
        <v>Finley Novak</v>
      </c>
      <c r="D159" s="8" t="str">
        <f>IFERROR(INDEX(Lists!$C$5:$C$34,MATCH(B159,Lists!$A$5:$A$34,0)),"")</f>
        <v>Estimator</v>
      </c>
      <c r="E159" s="9">
        <v>46288</v>
      </c>
      <c r="F159" s="10" t="str">
        <f t="shared" si="14"/>
        <v>Wed</v>
      </c>
      <c r="G159" s="7" t="s">
        <v>46</v>
      </c>
      <c r="H159" s="8" t="str">
        <f>IFERROR(INDEX(Lists!$F$5:$F$9,MATCH(G159,Lists!$E$5:$E$9,0)),"")</f>
        <v>Birchwood Midstream (fictional)</v>
      </c>
      <c r="I159" s="8" t="str">
        <f>IFERROR(INDEX(Lists!$G$5:$G$9,MATCH(G159,Lists!$E$5:$E$9,0)),"")</f>
        <v>Y</v>
      </c>
      <c r="J159" s="11">
        <v>8</v>
      </c>
      <c r="K159" s="12">
        <v>110</v>
      </c>
      <c r="L159" s="13">
        <f>IF(I159&lt;&gt;"Y","",IFERROR(INDEX(Lists!$L$5:$L$20,MATCH(D159&amp;"|"&amp;G159,Lists!$I$5:$I$20,0)),""))</f>
        <v>110</v>
      </c>
      <c r="M159" s="10" t="str">
        <f t="shared" si="15"/>
        <v>E014|20260923|P102</v>
      </c>
      <c r="N159" s="10" t="str">
        <f>IF(COUNTIFS($M$5:M159,M159)&gt;1,"DUPLICATE","")</f>
        <v/>
      </c>
      <c r="O159" s="10" t="str">
        <f t="shared" si="16"/>
        <v/>
      </c>
      <c r="P159" s="10" t="str">
        <f t="shared" si="17"/>
        <v/>
      </c>
      <c r="Q159" s="10" t="str">
        <f>IF(COUNTIF(Lists!$E$5:$E$9,G159)=0,"PROJECT?","")</f>
        <v/>
      </c>
      <c r="R159" s="10" t="str">
        <f t="shared" si="18"/>
        <v/>
      </c>
      <c r="S159" s="10" t="str">
        <f>IF(AND(I159="Y",N159="",COUNTIF(Billing_Data!$H$5:$H$319,M159)=0),"NOT BILLED","")</f>
        <v/>
      </c>
      <c r="T159" s="14">
        <f t="shared" si="19"/>
        <v>0</v>
      </c>
      <c r="U159" s="15">
        <f t="shared" si="20"/>
        <v>880</v>
      </c>
    </row>
    <row r="160" spans="1:21" x14ac:dyDescent="0.25">
      <c r="A160" s="7" t="s">
        <v>214</v>
      </c>
      <c r="B160" s="7" t="s">
        <v>206</v>
      </c>
      <c r="C160" s="8" t="str">
        <f>IFERROR(INDEX(Lists!$B$5:$B$34,MATCH(B160,Lists!$A$5:$A$34,0)),"")</f>
        <v>Finley Novak</v>
      </c>
      <c r="D160" s="8" t="str">
        <f>IFERROR(INDEX(Lists!$C$5:$C$34,MATCH(B160,Lists!$A$5:$A$34,0)),"")</f>
        <v>Estimator</v>
      </c>
      <c r="E160" s="9">
        <v>46289</v>
      </c>
      <c r="F160" s="10" t="str">
        <f t="shared" si="14"/>
        <v>Thu</v>
      </c>
      <c r="G160" s="7" t="s">
        <v>46</v>
      </c>
      <c r="H160" s="8" t="str">
        <f>IFERROR(INDEX(Lists!$F$5:$F$9,MATCH(G160,Lists!$E$5:$E$9,0)),"")</f>
        <v>Birchwood Midstream (fictional)</v>
      </c>
      <c r="I160" s="8" t="str">
        <f>IFERROR(INDEX(Lists!$G$5:$G$9,MATCH(G160,Lists!$E$5:$E$9,0)),"")</f>
        <v>Y</v>
      </c>
      <c r="J160" s="11">
        <v>8</v>
      </c>
      <c r="K160" s="12">
        <v>110</v>
      </c>
      <c r="L160" s="13">
        <f>IF(I160&lt;&gt;"Y","",IFERROR(INDEX(Lists!$L$5:$L$20,MATCH(D160&amp;"|"&amp;G160,Lists!$I$5:$I$20,0)),""))</f>
        <v>110</v>
      </c>
      <c r="M160" s="10" t="str">
        <f t="shared" si="15"/>
        <v>E014|20260924|P102</v>
      </c>
      <c r="N160" s="10" t="str">
        <f>IF(COUNTIFS($M$5:M160,M160)&gt;1,"DUPLICATE","")</f>
        <v/>
      </c>
      <c r="O160" s="10" t="str">
        <f t="shared" si="16"/>
        <v/>
      </c>
      <c r="P160" s="10" t="str">
        <f t="shared" si="17"/>
        <v/>
      </c>
      <c r="Q160" s="10" t="str">
        <f>IF(COUNTIF(Lists!$E$5:$E$9,G160)=0,"PROJECT?","")</f>
        <v/>
      </c>
      <c r="R160" s="10" t="str">
        <f t="shared" si="18"/>
        <v/>
      </c>
      <c r="S160" s="10" t="str">
        <f>IF(AND(I160="Y",N160="",COUNTIF(Billing_Data!$H$5:$H$319,M160)=0),"NOT BILLED","")</f>
        <v/>
      </c>
      <c r="T160" s="14">
        <f t="shared" si="19"/>
        <v>0</v>
      </c>
      <c r="U160" s="15">
        <f t="shared" si="20"/>
        <v>880</v>
      </c>
    </row>
    <row r="161" spans="1:21" x14ac:dyDescent="0.25">
      <c r="A161" s="7" t="s">
        <v>215</v>
      </c>
      <c r="B161" s="7" t="s">
        <v>206</v>
      </c>
      <c r="C161" s="8" t="str">
        <f>IFERROR(INDEX(Lists!$B$5:$B$34,MATCH(B161,Lists!$A$5:$A$34,0)),"")</f>
        <v>Finley Novak</v>
      </c>
      <c r="D161" s="8" t="str">
        <f>IFERROR(INDEX(Lists!$C$5:$C$34,MATCH(B161,Lists!$A$5:$A$34,0)),"")</f>
        <v>Estimator</v>
      </c>
      <c r="E161" s="9">
        <v>46290</v>
      </c>
      <c r="F161" s="10" t="str">
        <f t="shared" si="14"/>
        <v>Fri</v>
      </c>
      <c r="G161" s="7" t="s">
        <v>46</v>
      </c>
      <c r="H161" s="8" t="str">
        <f>IFERROR(INDEX(Lists!$F$5:$F$9,MATCH(G161,Lists!$E$5:$E$9,0)),"")</f>
        <v>Birchwood Midstream (fictional)</v>
      </c>
      <c r="I161" s="8" t="str">
        <f>IFERROR(INDEX(Lists!$G$5:$G$9,MATCH(G161,Lists!$E$5:$E$9,0)),"")</f>
        <v>Y</v>
      </c>
      <c r="J161" s="11">
        <v>8</v>
      </c>
      <c r="K161" s="12">
        <v>110</v>
      </c>
      <c r="L161" s="13">
        <f>IF(I161&lt;&gt;"Y","",IFERROR(INDEX(Lists!$L$5:$L$20,MATCH(D161&amp;"|"&amp;G161,Lists!$I$5:$I$20,0)),""))</f>
        <v>110</v>
      </c>
      <c r="M161" s="10" t="str">
        <f t="shared" si="15"/>
        <v>E014|20260925|P102</v>
      </c>
      <c r="N161" s="10" t="str">
        <f>IF(COUNTIFS($M$5:M161,M161)&gt;1,"DUPLICATE","")</f>
        <v/>
      </c>
      <c r="O161" s="10" t="str">
        <f t="shared" si="16"/>
        <v/>
      </c>
      <c r="P161" s="10" t="str">
        <f t="shared" si="17"/>
        <v/>
      </c>
      <c r="Q161" s="10" t="str">
        <f>IF(COUNTIF(Lists!$E$5:$E$9,G161)=0,"PROJECT?","")</f>
        <v/>
      </c>
      <c r="R161" s="10" t="str">
        <f t="shared" si="18"/>
        <v/>
      </c>
      <c r="S161" s="10" t="str">
        <f>IF(AND(I161="Y",N161="",COUNTIF(Billing_Data!$H$5:$H$319,M161)=0),"NOT BILLED","")</f>
        <v/>
      </c>
      <c r="T161" s="14">
        <f t="shared" si="19"/>
        <v>0</v>
      </c>
      <c r="U161" s="15">
        <f t="shared" si="20"/>
        <v>880</v>
      </c>
    </row>
    <row r="162" spans="1:21" x14ac:dyDescent="0.25">
      <c r="A162" s="7" t="s">
        <v>216</v>
      </c>
      <c r="B162" s="7" t="s">
        <v>217</v>
      </c>
      <c r="C162" s="8" t="str">
        <f>IFERROR(INDEX(Lists!$B$5:$B$34,MATCH(B162,Lists!$A$5:$A$34,0)),"")</f>
        <v>Logan Osgood</v>
      </c>
      <c r="D162" s="8" t="str">
        <f>IFERROR(INDEX(Lists!$C$5:$C$34,MATCH(B162,Lists!$A$5:$A$34,0)),"")</f>
        <v>Estimator</v>
      </c>
      <c r="E162" s="9">
        <v>46279</v>
      </c>
      <c r="F162" s="10" t="str">
        <f t="shared" si="14"/>
        <v>Mon</v>
      </c>
      <c r="G162" s="7" t="s">
        <v>50</v>
      </c>
      <c r="H162" s="8" t="str">
        <f>IFERROR(INDEX(Lists!$F$5:$F$9,MATCH(G162,Lists!$E$5:$E$9,0)),"")</f>
        <v>Cedar Industrial (fictional)</v>
      </c>
      <c r="I162" s="8" t="str">
        <f>IFERROR(INDEX(Lists!$G$5:$G$9,MATCH(G162,Lists!$E$5:$E$9,0)),"")</f>
        <v>Y</v>
      </c>
      <c r="J162" s="11">
        <v>8</v>
      </c>
      <c r="K162" s="12">
        <v>100</v>
      </c>
      <c r="L162" s="13">
        <f>IF(I162&lt;&gt;"Y","",IFERROR(INDEX(Lists!$L$5:$L$20,MATCH(D162&amp;"|"&amp;G162,Lists!$I$5:$I$20,0)),""))</f>
        <v>100</v>
      </c>
      <c r="M162" s="10" t="str">
        <f t="shared" si="15"/>
        <v>E015|20260914|P103</v>
      </c>
      <c r="N162" s="10" t="str">
        <f>IF(COUNTIFS($M$5:M162,M162)&gt;1,"DUPLICATE","")</f>
        <v/>
      </c>
      <c r="O162" s="10" t="str">
        <f t="shared" si="16"/>
        <v/>
      </c>
      <c r="P162" s="10" t="str">
        <f t="shared" si="17"/>
        <v/>
      </c>
      <c r="Q162" s="10" t="str">
        <f>IF(COUNTIF(Lists!$E$5:$E$9,G162)=0,"PROJECT?","")</f>
        <v/>
      </c>
      <c r="R162" s="10" t="str">
        <f t="shared" si="18"/>
        <v/>
      </c>
      <c r="S162" s="10" t="str">
        <f>IF(AND(I162="Y",N162="",COUNTIF(Billing_Data!$H$5:$H$319,M162)=0),"NOT BILLED","")</f>
        <v/>
      </c>
      <c r="T162" s="14">
        <f t="shared" si="19"/>
        <v>0</v>
      </c>
      <c r="U162" s="15">
        <f t="shared" si="20"/>
        <v>800</v>
      </c>
    </row>
    <row r="163" spans="1:21" x14ac:dyDescent="0.25">
      <c r="A163" s="7" t="s">
        <v>218</v>
      </c>
      <c r="B163" s="7" t="s">
        <v>217</v>
      </c>
      <c r="C163" s="8" t="str">
        <f>IFERROR(INDEX(Lists!$B$5:$B$34,MATCH(B163,Lists!$A$5:$A$34,0)),"")</f>
        <v>Logan Osgood</v>
      </c>
      <c r="D163" s="8" t="str">
        <f>IFERROR(INDEX(Lists!$C$5:$C$34,MATCH(B163,Lists!$A$5:$A$34,0)),"")</f>
        <v>Estimator</v>
      </c>
      <c r="E163" s="9">
        <v>46280</v>
      </c>
      <c r="F163" s="10" t="str">
        <f t="shared" si="14"/>
        <v>Tue</v>
      </c>
      <c r="G163" s="7" t="s">
        <v>50</v>
      </c>
      <c r="H163" s="8" t="str">
        <f>IFERROR(INDEX(Lists!$F$5:$F$9,MATCH(G163,Lists!$E$5:$E$9,0)),"")</f>
        <v>Cedar Industrial (fictional)</v>
      </c>
      <c r="I163" s="8" t="str">
        <f>IFERROR(INDEX(Lists!$G$5:$G$9,MATCH(G163,Lists!$E$5:$E$9,0)),"")</f>
        <v>Y</v>
      </c>
      <c r="J163" s="11">
        <v>8</v>
      </c>
      <c r="K163" s="12">
        <v>100</v>
      </c>
      <c r="L163" s="13">
        <f>IF(I163&lt;&gt;"Y","",IFERROR(INDEX(Lists!$L$5:$L$20,MATCH(D163&amp;"|"&amp;G163,Lists!$I$5:$I$20,0)),""))</f>
        <v>100</v>
      </c>
      <c r="M163" s="10" t="str">
        <f t="shared" si="15"/>
        <v>E015|20260915|P103</v>
      </c>
      <c r="N163" s="10" t="str">
        <f>IF(COUNTIFS($M$5:M163,M163)&gt;1,"DUPLICATE","")</f>
        <v/>
      </c>
      <c r="O163" s="10" t="str">
        <f t="shared" si="16"/>
        <v/>
      </c>
      <c r="P163" s="10" t="str">
        <f t="shared" si="17"/>
        <v/>
      </c>
      <c r="Q163" s="10" t="str">
        <f>IF(COUNTIF(Lists!$E$5:$E$9,G163)=0,"PROJECT?","")</f>
        <v/>
      </c>
      <c r="R163" s="10" t="str">
        <f t="shared" si="18"/>
        <v/>
      </c>
      <c r="S163" s="10" t="str">
        <f>IF(AND(I163="Y",N163="",COUNTIF(Billing_Data!$H$5:$H$319,M163)=0),"NOT BILLED","")</f>
        <v/>
      </c>
      <c r="T163" s="14">
        <f t="shared" si="19"/>
        <v>0</v>
      </c>
      <c r="U163" s="15">
        <f t="shared" si="20"/>
        <v>800</v>
      </c>
    </row>
    <row r="164" spans="1:21" x14ac:dyDescent="0.25">
      <c r="A164" s="7" t="s">
        <v>219</v>
      </c>
      <c r="B164" s="7" t="s">
        <v>217</v>
      </c>
      <c r="C164" s="8" t="str">
        <f>IFERROR(INDEX(Lists!$B$5:$B$34,MATCH(B164,Lists!$A$5:$A$34,0)),"")</f>
        <v>Logan Osgood</v>
      </c>
      <c r="D164" s="8" t="str">
        <f>IFERROR(INDEX(Lists!$C$5:$C$34,MATCH(B164,Lists!$A$5:$A$34,0)),"")</f>
        <v>Estimator</v>
      </c>
      <c r="E164" s="9">
        <v>46281</v>
      </c>
      <c r="F164" s="10" t="str">
        <f t="shared" si="14"/>
        <v>Wed</v>
      </c>
      <c r="G164" s="7" t="s">
        <v>50</v>
      </c>
      <c r="H164" s="8" t="str">
        <f>IFERROR(INDEX(Lists!$F$5:$F$9,MATCH(G164,Lists!$E$5:$E$9,0)),"")</f>
        <v>Cedar Industrial (fictional)</v>
      </c>
      <c r="I164" s="8" t="str">
        <f>IFERROR(INDEX(Lists!$G$5:$G$9,MATCH(G164,Lists!$E$5:$E$9,0)),"")</f>
        <v>Y</v>
      </c>
      <c r="J164" s="11">
        <v>8</v>
      </c>
      <c r="K164" s="12">
        <v>100</v>
      </c>
      <c r="L164" s="13">
        <f>IF(I164&lt;&gt;"Y","",IFERROR(INDEX(Lists!$L$5:$L$20,MATCH(D164&amp;"|"&amp;G164,Lists!$I$5:$I$20,0)),""))</f>
        <v>100</v>
      </c>
      <c r="M164" s="10" t="str">
        <f t="shared" si="15"/>
        <v>E015|20260916|P103</v>
      </c>
      <c r="N164" s="10" t="str">
        <f>IF(COUNTIFS($M$5:M164,M164)&gt;1,"DUPLICATE","")</f>
        <v/>
      </c>
      <c r="O164" s="10" t="str">
        <f t="shared" si="16"/>
        <v/>
      </c>
      <c r="P164" s="10" t="str">
        <f t="shared" si="17"/>
        <v/>
      </c>
      <c r="Q164" s="10" t="str">
        <f>IF(COUNTIF(Lists!$E$5:$E$9,G164)=0,"PROJECT?","")</f>
        <v/>
      </c>
      <c r="R164" s="10" t="str">
        <f t="shared" si="18"/>
        <v/>
      </c>
      <c r="S164" s="10" t="str">
        <f>IF(AND(I164="Y",N164="",COUNTIF(Billing_Data!$H$5:$H$319,M164)=0),"NOT BILLED","")</f>
        <v/>
      </c>
      <c r="T164" s="14">
        <f t="shared" si="19"/>
        <v>0</v>
      </c>
      <c r="U164" s="15">
        <f t="shared" si="20"/>
        <v>800</v>
      </c>
    </row>
    <row r="165" spans="1:21" x14ac:dyDescent="0.25">
      <c r="A165" s="7" t="s">
        <v>220</v>
      </c>
      <c r="B165" s="7" t="s">
        <v>217</v>
      </c>
      <c r="C165" s="8" t="str">
        <f>IFERROR(INDEX(Lists!$B$5:$B$34,MATCH(B165,Lists!$A$5:$A$34,0)),"")</f>
        <v>Logan Osgood</v>
      </c>
      <c r="D165" s="8" t="str">
        <f>IFERROR(INDEX(Lists!$C$5:$C$34,MATCH(B165,Lists!$A$5:$A$34,0)),"")</f>
        <v>Estimator</v>
      </c>
      <c r="E165" s="9">
        <v>46282</v>
      </c>
      <c r="F165" s="10" t="str">
        <f t="shared" si="14"/>
        <v>Thu</v>
      </c>
      <c r="G165" s="7" t="s">
        <v>50</v>
      </c>
      <c r="H165" s="8" t="str">
        <f>IFERROR(INDEX(Lists!$F$5:$F$9,MATCH(G165,Lists!$E$5:$E$9,0)),"")</f>
        <v>Cedar Industrial (fictional)</v>
      </c>
      <c r="I165" s="8" t="str">
        <f>IFERROR(INDEX(Lists!$G$5:$G$9,MATCH(G165,Lists!$E$5:$E$9,0)),"")</f>
        <v>Y</v>
      </c>
      <c r="J165" s="11">
        <v>8</v>
      </c>
      <c r="K165" s="12">
        <v>100</v>
      </c>
      <c r="L165" s="13">
        <f>IF(I165&lt;&gt;"Y","",IFERROR(INDEX(Lists!$L$5:$L$20,MATCH(D165&amp;"|"&amp;G165,Lists!$I$5:$I$20,0)),""))</f>
        <v>100</v>
      </c>
      <c r="M165" s="10" t="str">
        <f t="shared" si="15"/>
        <v>E015|20260917|P103</v>
      </c>
      <c r="N165" s="10" t="str">
        <f>IF(COUNTIFS($M$5:M165,M165)&gt;1,"DUPLICATE","")</f>
        <v/>
      </c>
      <c r="O165" s="10" t="str">
        <f t="shared" si="16"/>
        <v/>
      </c>
      <c r="P165" s="10" t="str">
        <f t="shared" si="17"/>
        <v/>
      </c>
      <c r="Q165" s="10" t="str">
        <f>IF(COUNTIF(Lists!$E$5:$E$9,G165)=0,"PROJECT?","")</f>
        <v/>
      </c>
      <c r="R165" s="10" t="str">
        <f t="shared" si="18"/>
        <v/>
      </c>
      <c r="S165" s="10" t="str">
        <f>IF(AND(I165="Y",N165="",COUNTIF(Billing_Data!$H$5:$H$319,M165)=0),"NOT BILLED","")</f>
        <v/>
      </c>
      <c r="T165" s="14">
        <f t="shared" si="19"/>
        <v>0</v>
      </c>
      <c r="U165" s="15">
        <f t="shared" si="20"/>
        <v>800</v>
      </c>
    </row>
    <row r="166" spans="1:21" x14ac:dyDescent="0.25">
      <c r="A166" s="7" t="s">
        <v>221</v>
      </c>
      <c r="B166" s="7" t="s">
        <v>217</v>
      </c>
      <c r="C166" s="8" t="str">
        <f>IFERROR(INDEX(Lists!$B$5:$B$34,MATCH(B166,Lists!$A$5:$A$34,0)),"")</f>
        <v>Logan Osgood</v>
      </c>
      <c r="D166" s="8" t="str">
        <f>IFERROR(INDEX(Lists!$C$5:$C$34,MATCH(B166,Lists!$A$5:$A$34,0)),"")</f>
        <v>Estimator</v>
      </c>
      <c r="E166" s="9">
        <v>46283</v>
      </c>
      <c r="F166" s="10" t="str">
        <f t="shared" si="14"/>
        <v>Fri</v>
      </c>
      <c r="G166" s="7" t="s">
        <v>50</v>
      </c>
      <c r="H166" s="8" t="str">
        <f>IFERROR(INDEX(Lists!$F$5:$F$9,MATCH(G166,Lists!$E$5:$E$9,0)),"")</f>
        <v>Cedar Industrial (fictional)</v>
      </c>
      <c r="I166" s="8" t="str">
        <f>IFERROR(INDEX(Lists!$G$5:$G$9,MATCH(G166,Lists!$E$5:$E$9,0)),"")</f>
        <v>Y</v>
      </c>
      <c r="J166" s="11">
        <v>8</v>
      </c>
      <c r="K166" s="12">
        <v>100</v>
      </c>
      <c r="L166" s="13">
        <f>IF(I166&lt;&gt;"Y","",IFERROR(INDEX(Lists!$L$5:$L$20,MATCH(D166&amp;"|"&amp;G166,Lists!$I$5:$I$20,0)),""))</f>
        <v>100</v>
      </c>
      <c r="M166" s="10" t="str">
        <f t="shared" si="15"/>
        <v>E015|20260918|P103</v>
      </c>
      <c r="N166" s="10" t="str">
        <f>IF(COUNTIFS($M$5:M166,M166)&gt;1,"DUPLICATE","")</f>
        <v/>
      </c>
      <c r="O166" s="10" t="str">
        <f t="shared" si="16"/>
        <v/>
      </c>
      <c r="P166" s="10" t="str">
        <f t="shared" si="17"/>
        <v/>
      </c>
      <c r="Q166" s="10" t="str">
        <f>IF(COUNTIF(Lists!$E$5:$E$9,G166)=0,"PROJECT?","")</f>
        <v/>
      </c>
      <c r="R166" s="10" t="str">
        <f t="shared" si="18"/>
        <v/>
      </c>
      <c r="S166" s="10" t="str">
        <f>IF(AND(I166="Y",N166="",COUNTIF(Billing_Data!$H$5:$H$319,M166)=0),"NOT BILLED","")</f>
        <v/>
      </c>
      <c r="T166" s="14">
        <f t="shared" si="19"/>
        <v>0</v>
      </c>
      <c r="U166" s="15">
        <f t="shared" si="20"/>
        <v>800</v>
      </c>
    </row>
    <row r="167" spans="1:21" x14ac:dyDescent="0.25">
      <c r="A167" s="7" t="s">
        <v>222</v>
      </c>
      <c r="B167" s="7" t="s">
        <v>217</v>
      </c>
      <c r="C167" s="8" t="str">
        <f>IFERROR(INDEX(Lists!$B$5:$B$34,MATCH(B167,Lists!$A$5:$A$34,0)),"")</f>
        <v>Logan Osgood</v>
      </c>
      <c r="D167" s="8" t="str">
        <f>IFERROR(INDEX(Lists!$C$5:$C$34,MATCH(B167,Lists!$A$5:$A$34,0)),"")</f>
        <v>Estimator</v>
      </c>
      <c r="E167" s="9">
        <v>46286</v>
      </c>
      <c r="F167" s="10" t="str">
        <f t="shared" si="14"/>
        <v>Mon</v>
      </c>
      <c r="G167" s="7" t="s">
        <v>50</v>
      </c>
      <c r="H167" s="8" t="str">
        <f>IFERROR(INDEX(Lists!$F$5:$F$9,MATCH(G167,Lists!$E$5:$E$9,0)),"")</f>
        <v>Cedar Industrial (fictional)</v>
      </c>
      <c r="I167" s="8" t="str">
        <f>IFERROR(INDEX(Lists!$G$5:$G$9,MATCH(G167,Lists!$E$5:$E$9,0)),"")</f>
        <v>Y</v>
      </c>
      <c r="J167" s="11">
        <v>8</v>
      </c>
      <c r="K167" s="12">
        <v>100</v>
      </c>
      <c r="L167" s="13">
        <f>IF(I167&lt;&gt;"Y","",IFERROR(INDEX(Lists!$L$5:$L$20,MATCH(D167&amp;"|"&amp;G167,Lists!$I$5:$I$20,0)),""))</f>
        <v>100</v>
      </c>
      <c r="M167" s="10" t="str">
        <f t="shared" si="15"/>
        <v>E015|20260921|P103</v>
      </c>
      <c r="N167" s="10" t="str">
        <f>IF(COUNTIFS($M$5:M167,M167)&gt;1,"DUPLICATE","")</f>
        <v/>
      </c>
      <c r="O167" s="10" t="str">
        <f t="shared" si="16"/>
        <v/>
      </c>
      <c r="P167" s="10" t="str">
        <f t="shared" si="17"/>
        <v/>
      </c>
      <c r="Q167" s="10" t="str">
        <f>IF(COUNTIF(Lists!$E$5:$E$9,G167)=0,"PROJECT?","")</f>
        <v/>
      </c>
      <c r="R167" s="10" t="str">
        <f t="shared" si="18"/>
        <v/>
      </c>
      <c r="S167" s="10" t="str">
        <f>IF(AND(I167="Y",N167="",COUNTIF(Billing_Data!$H$5:$H$319,M167)=0),"NOT BILLED","")</f>
        <v/>
      </c>
      <c r="T167" s="14">
        <f t="shared" si="19"/>
        <v>0</v>
      </c>
      <c r="U167" s="15">
        <f t="shared" si="20"/>
        <v>800</v>
      </c>
    </row>
    <row r="168" spans="1:21" x14ac:dyDescent="0.25">
      <c r="A168" s="7" t="s">
        <v>223</v>
      </c>
      <c r="B168" s="7" t="s">
        <v>217</v>
      </c>
      <c r="C168" s="8" t="str">
        <f>IFERROR(INDEX(Lists!$B$5:$B$34,MATCH(B168,Lists!$A$5:$A$34,0)),"")</f>
        <v>Logan Osgood</v>
      </c>
      <c r="D168" s="8" t="str">
        <f>IFERROR(INDEX(Lists!$C$5:$C$34,MATCH(B168,Lists!$A$5:$A$34,0)),"")</f>
        <v>Estimator</v>
      </c>
      <c r="E168" s="9">
        <v>46287</v>
      </c>
      <c r="F168" s="10" t="str">
        <f t="shared" si="14"/>
        <v>Tue</v>
      </c>
      <c r="G168" s="7" t="s">
        <v>50</v>
      </c>
      <c r="H168" s="8" t="str">
        <f>IFERROR(INDEX(Lists!$F$5:$F$9,MATCH(G168,Lists!$E$5:$E$9,0)),"")</f>
        <v>Cedar Industrial (fictional)</v>
      </c>
      <c r="I168" s="8" t="str">
        <f>IFERROR(INDEX(Lists!$G$5:$G$9,MATCH(G168,Lists!$E$5:$E$9,0)),"")</f>
        <v>Y</v>
      </c>
      <c r="J168" s="11">
        <v>8</v>
      </c>
      <c r="K168" s="12">
        <v>100</v>
      </c>
      <c r="L168" s="13">
        <f>IF(I168&lt;&gt;"Y","",IFERROR(INDEX(Lists!$L$5:$L$20,MATCH(D168&amp;"|"&amp;G168,Lists!$I$5:$I$20,0)),""))</f>
        <v>100</v>
      </c>
      <c r="M168" s="10" t="str">
        <f t="shared" si="15"/>
        <v>E015|20260922|P103</v>
      </c>
      <c r="N168" s="10" t="str">
        <f>IF(COUNTIFS($M$5:M168,M168)&gt;1,"DUPLICATE","")</f>
        <v/>
      </c>
      <c r="O168" s="10" t="str">
        <f t="shared" si="16"/>
        <v/>
      </c>
      <c r="P168" s="10" t="str">
        <f t="shared" si="17"/>
        <v/>
      </c>
      <c r="Q168" s="10" t="str">
        <f>IF(COUNTIF(Lists!$E$5:$E$9,G168)=0,"PROJECT?","")</f>
        <v/>
      </c>
      <c r="R168" s="10" t="str">
        <f t="shared" si="18"/>
        <v/>
      </c>
      <c r="S168" s="10" t="str">
        <f>IF(AND(I168="Y",N168="",COUNTIF(Billing_Data!$H$5:$H$319,M168)=0),"NOT BILLED","")</f>
        <v/>
      </c>
      <c r="T168" s="14">
        <f t="shared" si="19"/>
        <v>0</v>
      </c>
      <c r="U168" s="15">
        <f t="shared" si="20"/>
        <v>800</v>
      </c>
    </row>
    <row r="169" spans="1:21" x14ac:dyDescent="0.25">
      <c r="A169" s="7" t="s">
        <v>224</v>
      </c>
      <c r="B169" s="7" t="s">
        <v>217</v>
      </c>
      <c r="C169" s="8" t="str">
        <f>IFERROR(INDEX(Lists!$B$5:$B$34,MATCH(B169,Lists!$A$5:$A$34,0)),"")</f>
        <v>Logan Osgood</v>
      </c>
      <c r="D169" s="8" t="str">
        <f>IFERROR(INDEX(Lists!$C$5:$C$34,MATCH(B169,Lists!$A$5:$A$34,0)),"")</f>
        <v>Estimator</v>
      </c>
      <c r="E169" s="9">
        <v>46288</v>
      </c>
      <c r="F169" s="10" t="str">
        <f t="shared" si="14"/>
        <v>Wed</v>
      </c>
      <c r="G169" s="7" t="s">
        <v>50</v>
      </c>
      <c r="H169" s="8" t="str">
        <f>IFERROR(INDEX(Lists!$F$5:$F$9,MATCH(G169,Lists!$E$5:$E$9,0)),"")</f>
        <v>Cedar Industrial (fictional)</v>
      </c>
      <c r="I169" s="8" t="str">
        <f>IFERROR(INDEX(Lists!$G$5:$G$9,MATCH(G169,Lists!$E$5:$E$9,0)),"")</f>
        <v>Y</v>
      </c>
      <c r="J169" s="11">
        <v>4</v>
      </c>
      <c r="K169" s="12">
        <v>100</v>
      </c>
      <c r="L169" s="13">
        <f>IF(I169&lt;&gt;"Y","",IFERROR(INDEX(Lists!$L$5:$L$20,MATCH(D169&amp;"|"&amp;G169,Lists!$I$5:$I$20,0)),""))</f>
        <v>100</v>
      </c>
      <c r="M169" s="10" t="str">
        <f t="shared" si="15"/>
        <v>E015|20260923|P103</v>
      </c>
      <c r="N169" s="10" t="str">
        <f>IF(COUNTIFS($M$5:M169,M169)&gt;1,"DUPLICATE","")</f>
        <v/>
      </c>
      <c r="O169" s="10" t="str">
        <f t="shared" si="16"/>
        <v/>
      </c>
      <c r="P169" s="10" t="str">
        <f t="shared" si="17"/>
        <v/>
      </c>
      <c r="Q169" s="10" t="str">
        <f>IF(COUNTIF(Lists!$E$5:$E$9,G169)=0,"PROJECT?","")</f>
        <v/>
      </c>
      <c r="R169" s="10" t="str">
        <f t="shared" si="18"/>
        <v/>
      </c>
      <c r="S169" s="10" t="str">
        <f>IF(AND(I169="Y",N169="",COUNTIF(Billing_Data!$H$5:$H$319,M169)=0),"NOT BILLED","")</f>
        <v/>
      </c>
      <c r="T169" s="14">
        <f t="shared" si="19"/>
        <v>0</v>
      </c>
      <c r="U169" s="15">
        <f t="shared" si="20"/>
        <v>400</v>
      </c>
    </row>
    <row r="170" spans="1:21" x14ac:dyDescent="0.25">
      <c r="A170" s="7" t="s">
        <v>225</v>
      </c>
      <c r="B170" s="7" t="s">
        <v>217</v>
      </c>
      <c r="C170" s="8" t="str">
        <f>IFERROR(INDEX(Lists!$B$5:$B$34,MATCH(B170,Lists!$A$5:$A$34,0)),"")</f>
        <v>Logan Osgood</v>
      </c>
      <c r="D170" s="8" t="str">
        <f>IFERROR(INDEX(Lists!$C$5:$C$34,MATCH(B170,Lists!$A$5:$A$34,0)),"")</f>
        <v>Estimator</v>
      </c>
      <c r="E170" s="9">
        <v>46288</v>
      </c>
      <c r="F170" s="10" t="str">
        <f t="shared" si="14"/>
        <v>Wed</v>
      </c>
      <c r="G170" s="7" t="s">
        <v>74</v>
      </c>
      <c r="H170" s="8" t="str">
        <f>IFERROR(INDEX(Lists!$F$5:$F$9,MATCH(G170,Lists!$E$5:$E$9,0)),"")</f>
        <v>Delta Environmental (fictional)</v>
      </c>
      <c r="I170" s="8" t="str">
        <f>IFERROR(INDEX(Lists!$G$5:$G$9,MATCH(G170,Lists!$E$5:$E$9,0)),"")</f>
        <v>Y</v>
      </c>
      <c r="J170" s="11">
        <v>4</v>
      </c>
      <c r="K170" s="12">
        <v>116</v>
      </c>
      <c r="L170" s="13">
        <f>IF(I170&lt;&gt;"Y","",IFERROR(INDEX(Lists!$L$5:$L$20,MATCH(D170&amp;"|"&amp;G170,Lists!$I$5:$I$20,0)),""))</f>
        <v>116</v>
      </c>
      <c r="M170" s="10" t="str">
        <f t="shared" si="15"/>
        <v>E015|20260923|P104</v>
      </c>
      <c r="N170" s="10" t="str">
        <f>IF(COUNTIFS($M$5:M170,M170)&gt;1,"DUPLICATE","")</f>
        <v/>
      </c>
      <c r="O170" s="10" t="str">
        <f t="shared" si="16"/>
        <v/>
      </c>
      <c r="P170" s="10" t="str">
        <f t="shared" si="17"/>
        <v/>
      </c>
      <c r="Q170" s="10" t="str">
        <f>IF(COUNTIF(Lists!$E$5:$E$9,G170)=0,"PROJECT?","")</f>
        <v/>
      </c>
      <c r="R170" s="10" t="str">
        <f t="shared" si="18"/>
        <v/>
      </c>
      <c r="S170" s="10" t="str">
        <f>IF(AND(I170="Y",N170="",COUNTIF(Billing_Data!$H$5:$H$319,M170)=0),"NOT BILLED","")</f>
        <v/>
      </c>
      <c r="T170" s="14">
        <f t="shared" si="19"/>
        <v>0</v>
      </c>
      <c r="U170" s="15">
        <f t="shared" si="20"/>
        <v>464</v>
      </c>
    </row>
    <row r="171" spans="1:21" x14ac:dyDescent="0.25">
      <c r="A171" s="7" t="s">
        <v>226</v>
      </c>
      <c r="B171" s="7" t="s">
        <v>217</v>
      </c>
      <c r="C171" s="8" t="str">
        <f>IFERROR(INDEX(Lists!$B$5:$B$34,MATCH(B171,Lists!$A$5:$A$34,0)),"")</f>
        <v>Logan Osgood</v>
      </c>
      <c r="D171" s="8" t="str">
        <f>IFERROR(INDEX(Lists!$C$5:$C$34,MATCH(B171,Lists!$A$5:$A$34,0)),"")</f>
        <v>Estimator</v>
      </c>
      <c r="E171" s="9">
        <v>46289</v>
      </c>
      <c r="F171" s="10" t="str">
        <f t="shared" si="14"/>
        <v>Thu</v>
      </c>
      <c r="G171" s="7" t="s">
        <v>50</v>
      </c>
      <c r="H171" s="8" t="str">
        <f>IFERROR(INDEX(Lists!$F$5:$F$9,MATCH(G171,Lists!$E$5:$E$9,0)),"")</f>
        <v>Cedar Industrial (fictional)</v>
      </c>
      <c r="I171" s="8" t="str">
        <f>IFERROR(INDEX(Lists!$G$5:$G$9,MATCH(G171,Lists!$E$5:$E$9,0)),"")</f>
        <v>Y</v>
      </c>
      <c r="J171" s="11">
        <v>8</v>
      </c>
      <c r="K171" s="12">
        <v>100</v>
      </c>
      <c r="L171" s="13">
        <f>IF(I171&lt;&gt;"Y","",IFERROR(INDEX(Lists!$L$5:$L$20,MATCH(D171&amp;"|"&amp;G171,Lists!$I$5:$I$20,0)),""))</f>
        <v>100</v>
      </c>
      <c r="M171" s="10" t="str">
        <f t="shared" si="15"/>
        <v>E015|20260924|P103</v>
      </c>
      <c r="N171" s="10" t="str">
        <f>IF(COUNTIFS($M$5:M171,M171)&gt;1,"DUPLICATE","")</f>
        <v/>
      </c>
      <c r="O171" s="10" t="str">
        <f t="shared" si="16"/>
        <v/>
      </c>
      <c r="P171" s="10" t="str">
        <f t="shared" si="17"/>
        <v/>
      </c>
      <c r="Q171" s="10" t="str">
        <f>IF(COUNTIF(Lists!$E$5:$E$9,G171)=0,"PROJECT?","")</f>
        <v/>
      </c>
      <c r="R171" s="10" t="str">
        <f t="shared" si="18"/>
        <v/>
      </c>
      <c r="S171" s="10" t="str">
        <f>IF(AND(I171="Y",N171="",COUNTIF(Billing_Data!$H$5:$H$319,M171)=0),"NOT BILLED","")</f>
        <v/>
      </c>
      <c r="T171" s="14">
        <f t="shared" si="19"/>
        <v>0</v>
      </c>
      <c r="U171" s="15">
        <f t="shared" si="20"/>
        <v>800</v>
      </c>
    </row>
    <row r="172" spans="1:21" x14ac:dyDescent="0.25">
      <c r="A172" s="7" t="s">
        <v>227</v>
      </c>
      <c r="B172" s="7" t="s">
        <v>217</v>
      </c>
      <c r="C172" s="8" t="str">
        <f>IFERROR(INDEX(Lists!$B$5:$B$34,MATCH(B172,Lists!$A$5:$A$34,0)),"")</f>
        <v>Logan Osgood</v>
      </c>
      <c r="D172" s="8" t="str">
        <f>IFERROR(INDEX(Lists!$C$5:$C$34,MATCH(B172,Lists!$A$5:$A$34,0)),"")</f>
        <v>Estimator</v>
      </c>
      <c r="E172" s="9">
        <v>46290</v>
      </c>
      <c r="F172" s="10" t="str">
        <f t="shared" si="14"/>
        <v>Fri</v>
      </c>
      <c r="G172" s="7" t="s">
        <v>50</v>
      </c>
      <c r="H172" s="8" t="str">
        <f>IFERROR(INDEX(Lists!$F$5:$F$9,MATCH(G172,Lists!$E$5:$E$9,0)),"")</f>
        <v>Cedar Industrial (fictional)</v>
      </c>
      <c r="I172" s="8" t="str">
        <f>IFERROR(INDEX(Lists!$G$5:$G$9,MATCH(G172,Lists!$E$5:$E$9,0)),"")</f>
        <v>Y</v>
      </c>
      <c r="J172" s="11">
        <v>8</v>
      </c>
      <c r="K172" s="12">
        <v>100</v>
      </c>
      <c r="L172" s="13">
        <f>IF(I172&lt;&gt;"Y","",IFERROR(INDEX(Lists!$L$5:$L$20,MATCH(D172&amp;"|"&amp;G172,Lists!$I$5:$I$20,0)),""))</f>
        <v>100</v>
      </c>
      <c r="M172" s="10" t="str">
        <f t="shared" si="15"/>
        <v>E015|20260925|P103</v>
      </c>
      <c r="N172" s="10" t="str">
        <f>IF(COUNTIFS($M$5:M172,M172)&gt;1,"DUPLICATE","")</f>
        <v/>
      </c>
      <c r="O172" s="10" t="str">
        <f t="shared" si="16"/>
        <v/>
      </c>
      <c r="P172" s="10" t="str">
        <f t="shared" si="17"/>
        <v/>
      </c>
      <c r="Q172" s="10" t="str">
        <f>IF(COUNTIF(Lists!$E$5:$E$9,G172)=0,"PROJECT?","")</f>
        <v/>
      </c>
      <c r="R172" s="10" t="str">
        <f t="shared" si="18"/>
        <v/>
      </c>
      <c r="S172" s="10" t="str">
        <f>IF(AND(I172="Y",N172="",COUNTIF(Billing_Data!$H$5:$H$319,M172)=0),"NOT BILLED","")</f>
        <v/>
      </c>
      <c r="T172" s="14">
        <f t="shared" si="19"/>
        <v>0</v>
      </c>
      <c r="U172" s="15">
        <f t="shared" si="20"/>
        <v>800</v>
      </c>
    </row>
    <row r="173" spans="1:21" x14ac:dyDescent="0.25">
      <c r="A173" s="7" t="s">
        <v>228</v>
      </c>
      <c r="B173" s="7" t="s">
        <v>229</v>
      </c>
      <c r="C173" s="8" t="str">
        <f>IFERROR(INDEX(Lists!$B$5:$B$34,MATCH(B173,Lists!$A$5:$A$34,0)),"")</f>
        <v>Kendall Pruitt</v>
      </c>
      <c r="D173" s="8" t="str">
        <f>IFERROR(INDEX(Lists!$C$5:$C$34,MATCH(B173,Lists!$A$5:$A$34,0)),"")</f>
        <v>Field Supervisor</v>
      </c>
      <c r="E173" s="9">
        <v>46279</v>
      </c>
      <c r="F173" s="10" t="str">
        <f t="shared" si="14"/>
        <v>Mon</v>
      </c>
      <c r="G173" s="7" t="s">
        <v>74</v>
      </c>
      <c r="H173" s="8" t="str">
        <f>IFERROR(INDEX(Lists!$F$5:$F$9,MATCH(G173,Lists!$E$5:$E$9,0)),"")</f>
        <v>Delta Environmental (fictional)</v>
      </c>
      <c r="I173" s="8" t="str">
        <f>IFERROR(INDEX(Lists!$G$5:$G$9,MATCH(G173,Lists!$E$5:$E$9,0)),"")</f>
        <v>Y</v>
      </c>
      <c r="J173" s="11">
        <v>8</v>
      </c>
      <c r="K173" s="12">
        <v>130</v>
      </c>
      <c r="L173" s="13">
        <f>IF(I173&lt;&gt;"Y","",IFERROR(INDEX(Lists!$L$5:$L$20,MATCH(D173&amp;"|"&amp;G173,Lists!$I$5:$I$20,0)),""))</f>
        <v>130</v>
      </c>
      <c r="M173" s="10" t="str">
        <f t="shared" si="15"/>
        <v>E016|20260914|P104</v>
      </c>
      <c r="N173" s="10" t="str">
        <f>IF(COUNTIFS($M$5:M173,M173)&gt;1,"DUPLICATE","")</f>
        <v/>
      </c>
      <c r="O173" s="10" t="str">
        <f t="shared" si="16"/>
        <v/>
      </c>
      <c r="P173" s="10" t="str">
        <f t="shared" si="17"/>
        <v/>
      </c>
      <c r="Q173" s="10" t="str">
        <f>IF(COUNTIF(Lists!$E$5:$E$9,G173)=0,"PROJECT?","")</f>
        <v/>
      </c>
      <c r="R173" s="10" t="str">
        <f t="shared" si="18"/>
        <v/>
      </c>
      <c r="S173" s="10" t="str">
        <f>IF(AND(I173="Y",N173="",COUNTIF(Billing_Data!$H$5:$H$319,M173)=0),"NOT BILLED","")</f>
        <v/>
      </c>
      <c r="T173" s="14">
        <f t="shared" si="19"/>
        <v>0</v>
      </c>
      <c r="U173" s="15">
        <f t="shared" si="20"/>
        <v>1040</v>
      </c>
    </row>
    <row r="174" spans="1:21" x14ac:dyDescent="0.25">
      <c r="A174" s="7" t="s">
        <v>230</v>
      </c>
      <c r="B174" s="7" t="s">
        <v>229</v>
      </c>
      <c r="C174" s="8" t="str">
        <f>IFERROR(INDEX(Lists!$B$5:$B$34,MATCH(B174,Lists!$A$5:$A$34,0)),"")</f>
        <v>Kendall Pruitt</v>
      </c>
      <c r="D174" s="8" t="str">
        <f>IFERROR(INDEX(Lists!$C$5:$C$34,MATCH(B174,Lists!$A$5:$A$34,0)),"")</f>
        <v>Field Supervisor</v>
      </c>
      <c r="E174" s="9">
        <v>46280</v>
      </c>
      <c r="F174" s="10" t="str">
        <f t="shared" si="14"/>
        <v>Tue</v>
      </c>
      <c r="G174" s="7" t="s">
        <v>74</v>
      </c>
      <c r="H174" s="8" t="str">
        <f>IFERROR(INDEX(Lists!$F$5:$F$9,MATCH(G174,Lists!$E$5:$E$9,0)),"")</f>
        <v>Delta Environmental (fictional)</v>
      </c>
      <c r="I174" s="8" t="str">
        <f>IFERROR(INDEX(Lists!$G$5:$G$9,MATCH(G174,Lists!$E$5:$E$9,0)),"")</f>
        <v>Y</v>
      </c>
      <c r="J174" s="11">
        <v>8</v>
      </c>
      <c r="K174" s="12">
        <v>130</v>
      </c>
      <c r="L174" s="13">
        <f>IF(I174&lt;&gt;"Y","",IFERROR(INDEX(Lists!$L$5:$L$20,MATCH(D174&amp;"|"&amp;G174,Lists!$I$5:$I$20,0)),""))</f>
        <v>130</v>
      </c>
      <c r="M174" s="10" t="str">
        <f t="shared" si="15"/>
        <v>E016|20260915|P104</v>
      </c>
      <c r="N174" s="10" t="str">
        <f>IF(COUNTIFS($M$5:M174,M174)&gt;1,"DUPLICATE","")</f>
        <v/>
      </c>
      <c r="O174" s="10" t="str">
        <f t="shared" si="16"/>
        <v/>
      </c>
      <c r="P174" s="10" t="str">
        <f t="shared" si="17"/>
        <v/>
      </c>
      <c r="Q174" s="10" t="str">
        <f>IF(COUNTIF(Lists!$E$5:$E$9,G174)=0,"PROJECT?","")</f>
        <v/>
      </c>
      <c r="R174" s="10" t="str">
        <f t="shared" si="18"/>
        <v/>
      </c>
      <c r="S174" s="10" t="str">
        <f>IF(AND(I174="Y",N174="",COUNTIF(Billing_Data!$H$5:$H$319,M174)=0),"NOT BILLED","")</f>
        <v/>
      </c>
      <c r="T174" s="14">
        <f t="shared" si="19"/>
        <v>0</v>
      </c>
      <c r="U174" s="15">
        <f t="shared" si="20"/>
        <v>1040</v>
      </c>
    </row>
    <row r="175" spans="1:21" x14ac:dyDescent="0.25">
      <c r="A175" s="7" t="s">
        <v>231</v>
      </c>
      <c r="B175" s="7" t="s">
        <v>229</v>
      </c>
      <c r="C175" s="8" t="str">
        <f>IFERROR(INDEX(Lists!$B$5:$B$34,MATCH(B175,Lists!$A$5:$A$34,0)),"")</f>
        <v>Kendall Pruitt</v>
      </c>
      <c r="D175" s="8" t="str">
        <f>IFERROR(INDEX(Lists!$C$5:$C$34,MATCH(B175,Lists!$A$5:$A$34,0)),"")</f>
        <v>Field Supervisor</v>
      </c>
      <c r="E175" s="9">
        <v>46281</v>
      </c>
      <c r="F175" s="10" t="str">
        <f t="shared" si="14"/>
        <v>Wed</v>
      </c>
      <c r="G175" s="7" t="s">
        <v>74</v>
      </c>
      <c r="H175" s="8" t="str">
        <f>IFERROR(INDEX(Lists!$F$5:$F$9,MATCH(G175,Lists!$E$5:$E$9,0)),"")</f>
        <v>Delta Environmental (fictional)</v>
      </c>
      <c r="I175" s="8" t="str">
        <f>IFERROR(INDEX(Lists!$G$5:$G$9,MATCH(G175,Lists!$E$5:$E$9,0)),"")</f>
        <v>Y</v>
      </c>
      <c r="J175" s="11">
        <v>8</v>
      </c>
      <c r="K175" s="12">
        <v>130</v>
      </c>
      <c r="L175" s="13">
        <f>IF(I175&lt;&gt;"Y","",IFERROR(INDEX(Lists!$L$5:$L$20,MATCH(D175&amp;"|"&amp;G175,Lists!$I$5:$I$20,0)),""))</f>
        <v>130</v>
      </c>
      <c r="M175" s="10" t="str">
        <f t="shared" si="15"/>
        <v>E016|20260916|P104</v>
      </c>
      <c r="N175" s="10" t="str">
        <f>IF(COUNTIFS($M$5:M175,M175)&gt;1,"DUPLICATE","")</f>
        <v/>
      </c>
      <c r="O175" s="10" t="str">
        <f t="shared" si="16"/>
        <v/>
      </c>
      <c r="P175" s="10" t="str">
        <f t="shared" si="17"/>
        <v/>
      </c>
      <c r="Q175" s="10" t="str">
        <f>IF(COUNTIF(Lists!$E$5:$E$9,G175)=0,"PROJECT?","")</f>
        <v/>
      </c>
      <c r="R175" s="10" t="str">
        <f t="shared" si="18"/>
        <v/>
      </c>
      <c r="S175" s="10" t="str">
        <f>IF(AND(I175="Y",N175="",COUNTIF(Billing_Data!$H$5:$H$319,M175)=0),"NOT BILLED","")</f>
        <v/>
      </c>
      <c r="T175" s="14">
        <f t="shared" si="19"/>
        <v>0</v>
      </c>
      <c r="U175" s="15">
        <f t="shared" si="20"/>
        <v>1040</v>
      </c>
    </row>
    <row r="176" spans="1:21" x14ac:dyDescent="0.25">
      <c r="A176" s="7" t="s">
        <v>232</v>
      </c>
      <c r="B176" s="7" t="s">
        <v>229</v>
      </c>
      <c r="C176" s="8" t="str">
        <f>IFERROR(INDEX(Lists!$B$5:$B$34,MATCH(B176,Lists!$A$5:$A$34,0)),"")</f>
        <v>Kendall Pruitt</v>
      </c>
      <c r="D176" s="8" t="str">
        <f>IFERROR(INDEX(Lists!$C$5:$C$34,MATCH(B176,Lists!$A$5:$A$34,0)),"")</f>
        <v>Field Supervisor</v>
      </c>
      <c r="E176" s="9">
        <v>46282</v>
      </c>
      <c r="F176" s="10" t="str">
        <f t="shared" si="14"/>
        <v>Thu</v>
      </c>
      <c r="G176" s="7" t="s">
        <v>74</v>
      </c>
      <c r="H176" s="8" t="str">
        <f>IFERROR(INDEX(Lists!$F$5:$F$9,MATCH(G176,Lists!$E$5:$E$9,0)),"")</f>
        <v>Delta Environmental (fictional)</v>
      </c>
      <c r="I176" s="8" t="str">
        <f>IFERROR(INDEX(Lists!$G$5:$G$9,MATCH(G176,Lists!$E$5:$E$9,0)),"")</f>
        <v>Y</v>
      </c>
      <c r="J176" s="11">
        <v>8</v>
      </c>
      <c r="K176" s="12">
        <v>130</v>
      </c>
      <c r="L176" s="13">
        <f>IF(I176&lt;&gt;"Y","",IFERROR(INDEX(Lists!$L$5:$L$20,MATCH(D176&amp;"|"&amp;G176,Lists!$I$5:$I$20,0)),""))</f>
        <v>130</v>
      </c>
      <c r="M176" s="10" t="str">
        <f t="shared" si="15"/>
        <v>E016|20260917|P104</v>
      </c>
      <c r="N176" s="10" t="str">
        <f>IF(COUNTIFS($M$5:M176,M176)&gt;1,"DUPLICATE","")</f>
        <v/>
      </c>
      <c r="O176" s="10" t="str">
        <f t="shared" si="16"/>
        <v/>
      </c>
      <c r="P176" s="10" t="str">
        <f t="shared" si="17"/>
        <v/>
      </c>
      <c r="Q176" s="10" t="str">
        <f>IF(COUNTIF(Lists!$E$5:$E$9,G176)=0,"PROJECT?","")</f>
        <v/>
      </c>
      <c r="R176" s="10" t="str">
        <f t="shared" si="18"/>
        <v/>
      </c>
      <c r="S176" s="10" t="str">
        <f>IF(AND(I176="Y",N176="",COUNTIF(Billing_Data!$H$5:$H$319,M176)=0),"NOT BILLED","")</f>
        <v/>
      </c>
      <c r="T176" s="14">
        <f t="shared" si="19"/>
        <v>0</v>
      </c>
      <c r="U176" s="15">
        <f t="shared" si="20"/>
        <v>1040</v>
      </c>
    </row>
    <row r="177" spans="1:21" x14ac:dyDescent="0.25">
      <c r="A177" s="7" t="s">
        <v>233</v>
      </c>
      <c r="B177" s="7" t="s">
        <v>229</v>
      </c>
      <c r="C177" s="8" t="str">
        <f>IFERROR(INDEX(Lists!$B$5:$B$34,MATCH(B177,Lists!$A$5:$A$34,0)),"")</f>
        <v>Kendall Pruitt</v>
      </c>
      <c r="D177" s="8" t="str">
        <f>IFERROR(INDEX(Lists!$C$5:$C$34,MATCH(B177,Lists!$A$5:$A$34,0)),"")</f>
        <v>Field Supervisor</v>
      </c>
      <c r="E177" s="9">
        <v>46283</v>
      </c>
      <c r="F177" s="10" t="str">
        <f t="shared" si="14"/>
        <v>Fri</v>
      </c>
      <c r="G177" s="7" t="s">
        <v>74</v>
      </c>
      <c r="H177" s="8" t="str">
        <f>IFERROR(INDEX(Lists!$F$5:$F$9,MATCH(G177,Lists!$E$5:$E$9,0)),"")</f>
        <v>Delta Environmental (fictional)</v>
      </c>
      <c r="I177" s="8" t="str">
        <f>IFERROR(INDEX(Lists!$G$5:$G$9,MATCH(G177,Lists!$E$5:$E$9,0)),"")</f>
        <v>Y</v>
      </c>
      <c r="J177" s="11">
        <v>8</v>
      </c>
      <c r="K177" s="12">
        <v>130</v>
      </c>
      <c r="L177" s="13">
        <f>IF(I177&lt;&gt;"Y","",IFERROR(INDEX(Lists!$L$5:$L$20,MATCH(D177&amp;"|"&amp;G177,Lists!$I$5:$I$20,0)),""))</f>
        <v>130</v>
      </c>
      <c r="M177" s="10" t="str">
        <f t="shared" si="15"/>
        <v>E016|20260918|P104</v>
      </c>
      <c r="N177" s="10" t="str">
        <f>IF(COUNTIFS($M$5:M177,M177)&gt;1,"DUPLICATE","")</f>
        <v/>
      </c>
      <c r="O177" s="10" t="str">
        <f t="shared" si="16"/>
        <v/>
      </c>
      <c r="P177" s="10" t="str">
        <f t="shared" si="17"/>
        <v/>
      </c>
      <c r="Q177" s="10" t="str">
        <f>IF(COUNTIF(Lists!$E$5:$E$9,G177)=0,"PROJECT?","")</f>
        <v/>
      </c>
      <c r="R177" s="10" t="str">
        <f t="shared" si="18"/>
        <v/>
      </c>
      <c r="S177" s="10" t="str">
        <f>IF(AND(I177="Y",N177="",COUNTIF(Billing_Data!$H$5:$H$319,M177)=0),"NOT BILLED","")</f>
        <v/>
      </c>
      <c r="T177" s="14">
        <f t="shared" si="19"/>
        <v>0</v>
      </c>
      <c r="U177" s="15">
        <f t="shared" si="20"/>
        <v>1040</v>
      </c>
    </row>
    <row r="178" spans="1:21" x14ac:dyDescent="0.25">
      <c r="A178" s="7" t="s">
        <v>234</v>
      </c>
      <c r="B178" s="7" t="s">
        <v>229</v>
      </c>
      <c r="C178" s="8" t="str">
        <f>IFERROR(INDEX(Lists!$B$5:$B$34,MATCH(B178,Lists!$A$5:$A$34,0)),"")</f>
        <v>Kendall Pruitt</v>
      </c>
      <c r="D178" s="8" t="str">
        <f>IFERROR(INDEX(Lists!$C$5:$C$34,MATCH(B178,Lists!$A$5:$A$34,0)),"")</f>
        <v>Field Supervisor</v>
      </c>
      <c r="E178" s="9">
        <v>46286</v>
      </c>
      <c r="F178" s="10" t="str">
        <f t="shared" si="14"/>
        <v>Mon</v>
      </c>
      <c r="G178" s="7" t="s">
        <v>74</v>
      </c>
      <c r="H178" s="8" t="str">
        <f>IFERROR(INDEX(Lists!$F$5:$F$9,MATCH(G178,Lists!$E$5:$E$9,0)),"")</f>
        <v>Delta Environmental (fictional)</v>
      </c>
      <c r="I178" s="8" t="str">
        <f>IFERROR(INDEX(Lists!$G$5:$G$9,MATCH(G178,Lists!$E$5:$E$9,0)),"")</f>
        <v>Y</v>
      </c>
      <c r="J178" s="11">
        <v>8</v>
      </c>
      <c r="K178" s="12">
        <v>130</v>
      </c>
      <c r="L178" s="13">
        <f>IF(I178&lt;&gt;"Y","",IFERROR(INDEX(Lists!$L$5:$L$20,MATCH(D178&amp;"|"&amp;G178,Lists!$I$5:$I$20,0)),""))</f>
        <v>130</v>
      </c>
      <c r="M178" s="10" t="str">
        <f t="shared" si="15"/>
        <v>E016|20260921|P104</v>
      </c>
      <c r="N178" s="10" t="str">
        <f>IF(COUNTIFS($M$5:M178,M178)&gt;1,"DUPLICATE","")</f>
        <v/>
      </c>
      <c r="O178" s="10" t="str">
        <f t="shared" si="16"/>
        <v/>
      </c>
      <c r="P178" s="10" t="str">
        <f t="shared" si="17"/>
        <v/>
      </c>
      <c r="Q178" s="10" t="str">
        <f>IF(COUNTIF(Lists!$E$5:$E$9,G178)=0,"PROJECT?","")</f>
        <v/>
      </c>
      <c r="R178" s="10" t="str">
        <f t="shared" si="18"/>
        <v/>
      </c>
      <c r="S178" s="10" t="str">
        <f>IF(AND(I178="Y",N178="",COUNTIF(Billing_Data!$H$5:$H$319,M178)=0),"NOT BILLED","")</f>
        <v/>
      </c>
      <c r="T178" s="14">
        <f t="shared" si="19"/>
        <v>0</v>
      </c>
      <c r="U178" s="15">
        <f t="shared" si="20"/>
        <v>1040</v>
      </c>
    </row>
    <row r="179" spans="1:21" x14ac:dyDescent="0.25">
      <c r="A179" s="7" t="s">
        <v>235</v>
      </c>
      <c r="B179" s="7" t="s">
        <v>229</v>
      </c>
      <c r="C179" s="8" t="str">
        <f>IFERROR(INDEX(Lists!$B$5:$B$34,MATCH(B179,Lists!$A$5:$A$34,0)),"")</f>
        <v>Kendall Pruitt</v>
      </c>
      <c r="D179" s="8" t="str">
        <f>IFERROR(INDEX(Lists!$C$5:$C$34,MATCH(B179,Lists!$A$5:$A$34,0)),"")</f>
        <v>Field Supervisor</v>
      </c>
      <c r="E179" s="9">
        <v>46287</v>
      </c>
      <c r="F179" s="10" t="str">
        <f t="shared" si="14"/>
        <v>Tue</v>
      </c>
      <c r="G179" s="7" t="s">
        <v>74</v>
      </c>
      <c r="H179" s="8" t="str">
        <f>IFERROR(INDEX(Lists!$F$5:$F$9,MATCH(G179,Lists!$E$5:$E$9,0)),"")</f>
        <v>Delta Environmental (fictional)</v>
      </c>
      <c r="I179" s="8" t="str">
        <f>IFERROR(INDEX(Lists!$G$5:$G$9,MATCH(G179,Lists!$E$5:$E$9,0)),"")</f>
        <v>Y</v>
      </c>
      <c r="J179" s="11">
        <v>8</v>
      </c>
      <c r="K179" s="12">
        <v>130</v>
      </c>
      <c r="L179" s="13">
        <f>IF(I179&lt;&gt;"Y","",IFERROR(INDEX(Lists!$L$5:$L$20,MATCH(D179&amp;"|"&amp;G179,Lists!$I$5:$I$20,0)),""))</f>
        <v>130</v>
      </c>
      <c r="M179" s="10" t="str">
        <f t="shared" si="15"/>
        <v>E016|20260922|P104</v>
      </c>
      <c r="N179" s="10" t="str">
        <f>IF(COUNTIFS($M$5:M179,M179)&gt;1,"DUPLICATE","")</f>
        <v/>
      </c>
      <c r="O179" s="10" t="str">
        <f t="shared" si="16"/>
        <v/>
      </c>
      <c r="P179" s="10" t="str">
        <f t="shared" si="17"/>
        <v/>
      </c>
      <c r="Q179" s="10" t="str">
        <f>IF(COUNTIF(Lists!$E$5:$E$9,G179)=0,"PROJECT?","")</f>
        <v/>
      </c>
      <c r="R179" s="10" t="str">
        <f t="shared" si="18"/>
        <v/>
      </c>
      <c r="S179" s="10" t="str">
        <f>IF(AND(I179="Y",N179="",COUNTIF(Billing_Data!$H$5:$H$319,M179)=0),"NOT BILLED","")</f>
        <v/>
      </c>
      <c r="T179" s="14">
        <f t="shared" si="19"/>
        <v>0</v>
      </c>
      <c r="U179" s="15">
        <f t="shared" si="20"/>
        <v>1040</v>
      </c>
    </row>
    <row r="180" spans="1:21" x14ac:dyDescent="0.25">
      <c r="A180" s="7" t="s">
        <v>236</v>
      </c>
      <c r="B180" s="7" t="s">
        <v>229</v>
      </c>
      <c r="C180" s="8" t="str">
        <f>IFERROR(INDEX(Lists!$B$5:$B$34,MATCH(B180,Lists!$A$5:$A$34,0)),"")</f>
        <v>Kendall Pruitt</v>
      </c>
      <c r="D180" s="8" t="str">
        <f>IFERROR(INDEX(Lists!$C$5:$C$34,MATCH(B180,Lists!$A$5:$A$34,0)),"")</f>
        <v>Field Supervisor</v>
      </c>
      <c r="E180" s="9">
        <v>46288</v>
      </c>
      <c r="F180" s="10" t="str">
        <f t="shared" si="14"/>
        <v>Wed</v>
      </c>
      <c r="G180" s="7" t="s">
        <v>74</v>
      </c>
      <c r="H180" s="8" t="str">
        <f>IFERROR(INDEX(Lists!$F$5:$F$9,MATCH(G180,Lists!$E$5:$E$9,0)),"")</f>
        <v>Delta Environmental (fictional)</v>
      </c>
      <c r="I180" s="8" t="str">
        <f>IFERROR(INDEX(Lists!$G$5:$G$9,MATCH(G180,Lists!$E$5:$E$9,0)),"")</f>
        <v>Y</v>
      </c>
      <c r="J180" s="11">
        <v>8</v>
      </c>
      <c r="K180" s="12">
        <v>130</v>
      </c>
      <c r="L180" s="13">
        <f>IF(I180&lt;&gt;"Y","",IFERROR(INDEX(Lists!$L$5:$L$20,MATCH(D180&amp;"|"&amp;G180,Lists!$I$5:$I$20,0)),""))</f>
        <v>130</v>
      </c>
      <c r="M180" s="10" t="str">
        <f t="shared" si="15"/>
        <v>E016|20260923|P104</v>
      </c>
      <c r="N180" s="10" t="str">
        <f>IF(COUNTIFS($M$5:M180,M180)&gt;1,"DUPLICATE","")</f>
        <v/>
      </c>
      <c r="O180" s="10" t="str">
        <f t="shared" si="16"/>
        <v/>
      </c>
      <c r="P180" s="10" t="str">
        <f t="shared" si="17"/>
        <v/>
      </c>
      <c r="Q180" s="10" t="str">
        <f>IF(COUNTIF(Lists!$E$5:$E$9,G180)=0,"PROJECT?","")</f>
        <v/>
      </c>
      <c r="R180" s="10" t="str">
        <f t="shared" si="18"/>
        <v/>
      </c>
      <c r="S180" s="10" t="str">
        <f>IF(AND(I180="Y",N180="",COUNTIF(Billing_Data!$H$5:$H$319,M180)=0),"NOT BILLED","")</f>
        <v/>
      </c>
      <c r="T180" s="14">
        <f t="shared" si="19"/>
        <v>0</v>
      </c>
      <c r="U180" s="15">
        <f t="shared" si="20"/>
        <v>1040</v>
      </c>
    </row>
    <row r="181" spans="1:21" x14ac:dyDescent="0.25">
      <c r="A181" s="7" t="s">
        <v>237</v>
      </c>
      <c r="B181" s="7" t="s">
        <v>229</v>
      </c>
      <c r="C181" s="8" t="str">
        <f>IFERROR(INDEX(Lists!$B$5:$B$34,MATCH(B181,Lists!$A$5:$A$34,0)),"")</f>
        <v>Kendall Pruitt</v>
      </c>
      <c r="D181" s="8" t="str">
        <f>IFERROR(INDEX(Lists!$C$5:$C$34,MATCH(B181,Lists!$A$5:$A$34,0)),"")</f>
        <v>Field Supervisor</v>
      </c>
      <c r="E181" s="9">
        <v>46289</v>
      </c>
      <c r="F181" s="10" t="str">
        <f t="shared" si="14"/>
        <v>Thu</v>
      </c>
      <c r="G181" s="7" t="s">
        <v>74</v>
      </c>
      <c r="H181" s="8" t="str">
        <f>IFERROR(INDEX(Lists!$F$5:$F$9,MATCH(G181,Lists!$E$5:$E$9,0)),"")</f>
        <v>Delta Environmental (fictional)</v>
      </c>
      <c r="I181" s="8" t="str">
        <f>IFERROR(INDEX(Lists!$G$5:$G$9,MATCH(G181,Lists!$E$5:$E$9,0)),"")</f>
        <v>Y</v>
      </c>
      <c r="J181" s="11">
        <v>8</v>
      </c>
      <c r="K181" s="12">
        <v>130</v>
      </c>
      <c r="L181" s="13">
        <f>IF(I181&lt;&gt;"Y","",IFERROR(INDEX(Lists!$L$5:$L$20,MATCH(D181&amp;"|"&amp;G181,Lists!$I$5:$I$20,0)),""))</f>
        <v>130</v>
      </c>
      <c r="M181" s="10" t="str">
        <f t="shared" si="15"/>
        <v>E016|20260924|P104</v>
      </c>
      <c r="N181" s="10" t="str">
        <f>IF(COUNTIFS($M$5:M181,M181)&gt;1,"DUPLICATE","")</f>
        <v/>
      </c>
      <c r="O181" s="10" t="str">
        <f t="shared" si="16"/>
        <v/>
      </c>
      <c r="P181" s="10" t="str">
        <f t="shared" si="17"/>
        <v/>
      </c>
      <c r="Q181" s="10" t="str">
        <f>IF(COUNTIF(Lists!$E$5:$E$9,G181)=0,"PROJECT?","")</f>
        <v/>
      </c>
      <c r="R181" s="10" t="str">
        <f t="shared" si="18"/>
        <v/>
      </c>
      <c r="S181" s="10" t="str">
        <f>IF(AND(I181="Y",N181="",COUNTIF(Billing_Data!$H$5:$H$319,M181)=0),"NOT BILLED","")</f>
        <v/>
      </c>
      <c r="T181" s="14">
        <f t="shared" si="19"/>
        <v>0</v>
      </c>
      <c r="U181" s="15">
        <f t="shared" si="20"/>
        <v>1040</v>
      </c>
    </row>
    <row r="182" spans="1:21" x14ac:dyDescent="0.25">
      <c r="A182" s="7" t="s">
        <v>238</v>
      </c>
      <c r="B182" s="7" t="s">
        <v>229</v>
      </c>
      <c r="C182" s="8" t="str">
        <f>IFERROR(INDEX(Lists!$B$5:$B$34,MATCH(B182,Lists!$A$5:$A$34,0)),"")</f>
        <v>Kendall Pruitt</v>
      </c>
      <c r="D182" s="8" t="str">
        <f>IFERROR(INDEX(Lists!$C$5:$C$34,MATCH(B182,Lists!$A$5:$A$34,0)),"")</f>
        <v>Field Supervisor</v>
      </c>
      <c r="E182" s="9">
        <v>46290</v>
      </c>
      <c r="F182" s="10" t="str">
        <f t="shared" si="14"/>
        <v>Fri</v>
      </c>
      <c r="G182" s="7" t="s">
        <v>74</v>
      </c>
      <c r="H182" s="8" t="str">
        <f>IFERROR(INDEX(Lists!$F$5:$F$9,MATCH(G182,Lists!$E$5:$E$9,0)),"")</f>
        <v>Delta Environmental (fictional)</v>
      </c>
      <c r="I182" s="8" t="str">
        <f>IFERROR(INDEX(Lists!$G$5:$G$9,MATCH(G182,Lists!$E$5:$E$9,0)),"")</f>
        <v>Y</v>
      </c>
      <c r="J182" s="11">
        <v>8</v>
      </c>
      <c r="K182" s="12">
        <v>130</v>
      </c>
      <c r="L182" s="13">
        <f>IF(I182&lt;&gt;"Y","",IFERROR(INDEX(Lists!$L$5:$L$20,MATCH(D182&amp;"|"&amp;G182,Lists!$I$5:$I$20,0)),""))</f>
        <v>130</v>
      </c>
      <c r="M182" s="10" t="str">
        <f t="shared" si="15"/>
        <v>E016|20260925|P104</v>
      </c>
      <c r="N182" s="10" t="str">
        <f>IF(COUNTIFS($M$5:M182,M182)&gt;1,"DUPLICATE","")</f>
        <v/>
      </c>
      <c r="O182" s="10" t="str">
        <f t="shared" si="16"/>
        <v/>
      </c>
      <c r="P182" s="10" t="str">
        <f t="shared" si="17"/>
        <v/>
      </c>
      <c r="Q182" s="10" t="str">
        <f>IF(COUNTIF(Lists!$E$5:$E$9,G182)=0,"PROJECT?","")</f>
        <v/>
      </c>
      <c r="R182" s="10" t="str">
        <f t="shared" si="18"/>
        <v/>
      </c>
      <c r="S182" s="10" t="str">
        <f>IF(AND(I182="Y",N182="",COUNTIF(Billing_Data!$H$5:$H$319,M182)=0),"NOT BILLED","")</f>
        <v/>
      </c>
      <c r="T182" s="14">
        <f t="shared" si="19"/>
        <v>0</v>
      </c>
      <c r="U182" s="15">
        <f t="shared" si="20"/>
        <v>1040</v>
      </c>
    </row>
    <row r="183" spans="1:21" x14ac:dyDescent="0.25">
      <c r="A183" s="7" t="s">
        <v>239</v>
      </c>
      <c r="B183" s="7" t="s">
        <v>240</v>
      </c>
      <c r="C183" s="8" t="str">
        <f>IFERROR(INDEX(Lists!$B$5:$B$34,MATCH(B183,Lists!$A$5:$A$34,0)),"")</f>
        <v>Reese Quill</v>
      </c>
      <c r="D183" s="8" t="str">
        <f>IFERROR(INDEX(Lists!$C$5:$C$34,MATCH(B183,Lists!$A$5:$A$34,0)),"")</f>
        <v>Field Supervisor</v>
      </c>
      <c r="E183" s="9">
        <v>46280</v>
      </c>
      <c r="F183" s="10" t="str">
        <f t="shared" si="14"/>
        <v>Tue</v>
      </c>
      <c r="G183" s="7" t="s">
        <v>41</v>
      </c>
      <c r="H183" s="8" t="str">
        <f>IFERROR(INDEX(Lists!$F$5:$F$9,MATCH(G183,Lists!$E$5:$E$9,0)),"")</f>
        <v>Alder Energy (fictional)</v>
      </c>
      <c r="I183" s="8" t="str">
        <f>IFERROR(INDEX(Lists!$G$5:$G$9,MATCH(G183,Lists!$E$5:$E$9,0)),"")</f>
        <v>Y</v>
      </c>
      <c r="J183" s="11">
        <v>8</v>
      </c>
      <c r="K183" s="12">
        <v>118</v>
      </c>
      <c r="L183" s="13">
        <f>IF(I183&lt;&gt;"Y","",IFERROR(INDEX(Lists!$L$5:$L$20,MATCH(D183&amp;"|"&amp;G183,Lists!$I$5:$I$20,0)),""))</f>
        <v>118</v>
      </c>
      <c r="M183" s="10" t="str">
        <f t="shared" si="15"/>
        <v>E017|20260915|P101</v>
      </c>
      <c r="N183" s="10" t="str">
        <f>IF(COUNTIFS($M$5:M183,M183)&gt;1,"DUPLICATE","")</f>
        <v/>
      </c>
      <c r="O183" s="10" t="str">
        <f t="shared" si="16"/>
        <v/>
      </c>
      <c r="P183" s="10" t="str">
        <f t="shared" si="17"/>
        <v/>
      </c>
      <c r="Q183" s="10" t="str">
        <f>IF(COUNTIF(Lists!$E$5:$E$9,G183)=0,"PROJECT?","")</f>
        <v/>
      </c>
      <c r="R183" s="10" t="str">
        <f t="shared" si="18"/>
        <v/>
      </c>
      <c r="S183" s="10" t="str">
        <f>IF(AND(I183="Y",N183="",COUNTIF(Billing_Data!$H$5:$H$319,M183)=0),"NOT BILLED","")</f>
        <v/>
      </c>
      <c r="T183" s="14">
        <f t="shared" si="19"/>
        <v>0</v>
      </c>
      <c r="U183" s="15">
        <f t="shared" si="20"/>
        <v>944</v>
      </c>
    </row>
    <row r="184" spans="1:21" x14ac:dyDescent="0.25">
      <c r="A184" s="7" t="s">
        <v>241</v>
      </c>
      <c r="B184" s="7" t="s">
        <v>240</v>
      </c>
      <c r="C184" s="8" t="str">
        <f>IFERROR(INDEX(Lists!$B$5:$B$34,MATCH(B184,Lists!$A$5:$A$34,0)),"")</f>
        <v>Reese Quill</v>
      </c>
      <c r="D184" s="8" t="str">
        <f>IFERROR(INDEX(Lists!$C$5:$C$34,MATCH(B184,Lists!$A$5:$A$34,0)),"")</f>
        <v>Field Supervisor</v>
      </c>
      <c r="E184" s="9">
        <v>46281</v>
      </c>
      <c r="F184" s="10" t="str">
        <f t="shared" si="14"/>
        <v>Wed</v>
      </c>
      <c r="G184" s="7" t="s">
        <v>41</v>
      </c>
      <c r="H184" s="8" t="str">
        <f>IFERROR(INDEX(Lists!$F$5:$F$9,MATCH(G184,Lists!$E$5:$E$9,0)),"")</f>
        <v>Alder Energy (fictional)</v>
      </c>
      <c r="I184" s="8" t="str">
        <f>IFERROR(INDEX(Lists!$G$5:$G$9,MATCH(G184,Lists!$E$5:$E$9,0)),"")</f>
        <v>Y</v>
      </c>
      <c r="J184" s="11">
        <v>8</v>
      </c>
      <c r="K184" s="12">
        <v>118</v>
      </c>
      <c r="L184" s="13">
        <f>IF(I184&lt;&gt;"Y","",IFERROR(INDEX(Lists!$L$5:$L$20,MATCH(D184&amp;"|"&amp;G184,Lists!$I$5:$I$20,0)),""))</f>
        <v>118</v>
      </c>
      <c r="M184" s="10" t="str">
        <f t="shared" si="15"/>
        <v>E017|20260916|P101</v>
      </c>
      <c r="N184" s="10" t="str">
        <f>IF(COUNTIFS($M$5:M184,M184)&gt;1,"DUPLICATE","")</f>
        <v/>
      </c>
      <c r="O184" s="10" t="str">
        <f t="shared" si="16"/>
        <v/>
      </c>
      <c r="P184" s="10" t="str">
        <f t="shared" si="17"/>
        <v/>
      </c>
      <c r="Q184" s="10" t="str">
        <f>IF(COUNTIF(Lists!$E$5:$E$9,G184)=0,"PROJECT?","")</f>
        <v/>
      </c>
      <c r="R184" s="10" t="str">
        <f t="shared" si="18"/>
        <v/>
      </c>
      <c r="S184" s="10" t="str">
        <f>IF(AND(I184="Y",N184="",COUNTIF(Billing_Data!$H$5:$H$319,M184)=0),"NOT BILLED","")</f>
        <v/>
      </c>
      <c r="T184" s="14">
        <f t="shared" si="19"/>
        <v>0</v>
      </c>
      <c r="U184" s="15">
        <f t="shared" si="20"/>
        <v>944</v>
      </c>
    </row>
    <row r="185" spans="1:21" x14ac:dyDescent="0.25">
      <c r="A185" s="7" t="s">
        <v>242</v>
      </c>
      <c r="B185" s="7" t="s">
        <v>240</v>
      </c>
      <c r="C185" s="8" t="str">
        <f>IFERROR(INDEX(Lists!$B$5:$B$34,MATCH(B185,Lists!$A$5:$A$34,0)),"")</f>
        <v>Reese Quill</v>
      </c>
      <c r="D185" s="8" t="str">
        <f>IFERROR(INDEX(Lists!$C$5:$C$34,MATCH(B185,Lists!$A$5:$A$34,0)),"")</f>
        <v>Field Supervisor</v>
      </c>
      <c r="E185" s="9">
        <v>46282</v>
      </c>
      <c r="F185" s="10" t="str">
        <f t="shared" si="14"/>
        <v>Thu</v>
      </c>
      <c r="G185" s="7" t="s">
        <v>41</v>
      </c>
      <c r="H185" s="8" t="str">
        <f>IFERROR(INDEX(Lists!$F$5:$F$9,MATCH(G185,Lists!$E$5:$E$9,0)),"")</f>
        <v>Alder Energy (fictional)</v>
      </c>
      <c r="I185" s="8" t="str">
        <f>IFERROR(INDEX(Lists!$G$5:$G$9,MATCH(G185,Lists!$E$5:$E$9,0)),"")</f>
        <v>Y</v>
      </c>
      <c r="J185" s="11">
        <v>8</v>
      </c>
      <c r="K185" s="12">
        <v>118</v>
      </c>
      <c r="L185" s="13">
        <f>IF(I185&lt;&gt;"Y","",IFERROR(INDEX(Lists!$L$5:$L$20,MATCH(D185&amp;"|"&amp;G185,Lists!$I$5:$I$20,0)),""))</f>
        <v>118</v>
      </c>
      <c r="M185" s="10" t="str">
        <f t="shared" si="15"/>
        <v>E017|20260917|P101</v>
      </c>
      <c r="N185" s="10" t="str">
        <f>IF(COUNTIFS($M$5:M185,M185)&gt;1,"DUPLICATE","")</f>
        <v/>
      </c>
      <c r="O185" s="10" t="str">
        <f t="shared" si="16"/>
        <v/>
      </c>
      <c r="P185" s="10" t="str">
        <f t="shared" si="17"/>
        <v/>
      </c>
      <c r="Q185" s="10" t="str">
        <f>IF(COUNTIF(Lists!$E$5:$E$9,G185)=0,"PROJECT?","")</f>
        <v/>
      </c>
      <c r="R185" s="10" t="str">
        <f t="shared" si="18"/>
        <v/>
      </c>
      <c r="S185" s="10" t="str">
        <f>IF(AND(I185="Y",N185="",COUNTIF(Billing_Data!$H$5:$H$319,M185)=0),"NOT BILLED","")</f>
        <v/>
      </c>
      <c r="T185" s="14">
        <f t="shared" si="19"/>
        <v>0</v>
      </c>
      <c r="U185" s="15">
        <f t="shared" si="20"/>
        <v>944</v>
      </c>
    </row>
    <row r="186" spans="1:21" x14ac:dyDescent="0.25">
      <c r="A186" s="7" t="s">
        <v>243</v>
      </c>
      <c r="B186" s="7" t="s">
        <v>240</v>
      </c>
      <c r="C186" s="8" t="str">
        <f>IFERROR(INDEX(Lists!$B$5:$B$34,MATCH(B186,Lists!$A$5:$A$34,0)),"")</f>
        <v>Reese Quill</v>
      </c>
      <c r="D186" s="8" t="str">
        <f>IFERROR(INDEX(Lists!$C$5:$C$34,MATCH(B186,Lists!$A$5:$A$34,0)),"")</f>
        <v>Field Supervisor</v>
      </c>
      <c r="E186" s="9">
        <v>46283</v>
      </c>
      <c r="F186" s="10" t="str">
        <f t="shared" si="14"/>
        <v>Fri</v>
      </c>
      <c r="G186" s="7" t="s">
        <v>41</v>
      </c>
      <c r="H186" s="8" t="str">
        <f>IFERROR(INDEX(Lists!$F$5:$F$9,MATCH(G186,Lists!$E$5:$E$9,0)),"")</f>
        <v>Alder Energy (fictional)</v>
      </c>
      <c r="I186" s="8" t="str">
        <f>IFERROR(INDEX(Lists!$G$5:$G$9,MATCH(G186,Lists!$E$5:$E$9,0)),"")</f>
        <v>Y</v>
      </c>
      <c r="J186" s="11">
        <v>8</v>
      </c>
      <c r="K186" s="12">
        <v>118</v>
      </c>
      <c r="L186" s="13">
        <f>IF(I186&lt;&gt;"Y","",IFERROR(INDEX(Lists!$L$5:$L$20,MATCH(D186&amp;"|"&amp;G186,Lists!$I$5:$I$20,0)),""))</f>
        <v>118</v>
      </c>
      <c r="M186" s="10" t="str">
        <f t="shared" si="15"/>
        <v>E017|20260918|P101</v>
      </c>
      <c r="N186" s="10" t="str">
        <f>IF(COUNTIFS($M$5:M186,M186)&gt;1,"DUPLICATE","")</f>
        <v/>
      </c>
      <c r="O186" s="10" t="str">
        <f t="shared" si="16"/>
        <v/>
      </c>
      <c r="P186" s="10" t="str">
        <f t="shared" si="17"/>
        <v/>
      </c>
      <c r="Q186" s="10" t="str">
        <f>IF(COUNTIF(Lists!$E$5:$E$9,G186)=0,"PROJECT?","")</f>
        <v/>
      </c>
      <c r="R186" s="10" t="str">
        <f t="shared" si="18"/>
        <v/>
      </c>
      <c r="S186" s="10" t="str">
        <f>IF(AND(I186="Y",N186="",COUNTIF(Billing_Data!$H$5:$H$319,M186)=0),"NOT BILLED","")</f>
        <v/>
      </c>
      <c r="T186" s="14">
        <f t="shared" si="19"/>
        <v>0</v>
      </c>
      <c r="U186" s="15">
        <f t="shared" si="20"/>
        <v>944</v>
      </c>
    </row>
    <row r="187" spans="1:21" x14ac:dyDescent="0.25">
      <c r="A187" s="7" t="s">
        <v>244</v>
      </c>
      <c r="B187" s="7" t="s">
        <v>240</v>
      </c>
      <c r="C187" s="8" t="str">
        <f>IFERROR(INDEX(Lists!$B$5:$B$34,MATCH(B187,Lists!$A$5:$A$34,0)),"")</f>
        <v>Reese Quill</v>
      </c>
      <c r="D187" s="8" t="str">
        <f>IFERROR(INDEX(Lists!$C$5:$C$34,MATCH(B187,Lists!$A$5:$A$34,0)),"")</f>
        <v>Field Supervisor</v>
      </c>
      <c r="E187" s="9">
        <v>46286</v>
      </c>
      <c r="F187" s="10" t="str">
        <f t="shared" si="14"/>
        <v>Mon</v>
      </c>
      <c r="G187" s="7" t="s">
        <v>41</v>
      </c>
      <c r="H187" s="8" t="str">
        <f>IFERROR(INDEX(Lists!$F$5:$F$9,MATCH(G187,Lists!$E$5:$E$9,0)),"")</f>
        <v>Alder Energy (fictional)</v>
      </c>
      <c r="I187" s="8" t="str">
        <f>IFERROR(INDEX(Lists!$G$5:$G$9,MATCH(G187,Lists!$E$5:$E$9,0)),"")</f>
        <v>Y</v>
      </c>
      <c r="J187" s="11">
        <v>8</v>
      </c>
      <c r="K187" s="12">
        <v>118</v>
      </c>
      <c r="L187" s="13">
        <f>IF(I187&lt;&gt;"Y","",IFERROR(INDEX(Lists!$L$5:$L$20,MATCH(D187&amp;"|"&amp;G187,Lists!$I$5:$I$20,0)),""))</f>
        <v>118</v>
      </c>
      <c r="M187" s="10" t="str">
        <f t="shared" si="15"/>
        <v>E017|20260921|P101</v>
      </c>
      <c r="N187" s="10" t="str">
        <f>IF(COUNTIFS($M$5:M187,M187)&gt;1,"DUPLICATE","")</f>
        <v/>
      </c>
      <c r="O187" s="10" t="str">
        <f t="shared" si="16"/>
        <v/>
      </c>
      <c r="P187" s="10" t="str">
        <f t="shared" si="17"/>
        <v/>
      </c>
      <c r="Q187" s="10" t="str">
        <f>IF(COUNTIF(Lists!$E$5:$E$9,G187)=0,"PROJECT?","")</f>
        <v/>
      </c>
      <c r="R187" s="10" t="str">
        <f t="shared" si="18"/>
        <v/>
      </c>
      <c r="S187" s="10" t="str">
        <f>IF(AND(I187="Y",N187="",COUNTIF(Billing_Data!$H$5:$H$319,M187)=0),"NOT BILLED","")</f>
        <v/>
      </c>
      <c r="T187" s="14">
        <f t="shared" si="19"/>
        <v>0</v>
      </c>
      <c r="U187" s="15">
        <f t="shared" si="20"/>
        <v>944</v>
      </c>
    </row>
    <row r="188" spans="1:21" x14ac:dyDescent="0.25">
      <c r="A188" s="7" t="s">
        <v>245</v>
      </c>
      <c r="B188" s="7" t="s">
        <v>240</v>
      </c>
      <c r="C188" s="8" t="str">
        <f>IFERROR(INDEX(Lists!$B$5:$B$34,MATCH(B188,Lists!$A$5:$A$34,0)),"")</f>
        <v>Reese Quill</v>
      </c>
      <c r="D188" s="8" t="str">
        <f>IFERROR(INDEX(Lists!$C$5:$C$34,MATCH(B188,Lists!$A$5:$A$34,0)),"")</f>
        <v>Field Supervisor</v>
      </c>
      <c r="E188" s="9">
        <v>46287</v>
      </c>
      <c r="F188" s="10" t="str">
        <f t="shared" si="14"/>
        <v>Tue</v>
      </c>
      <c r="G188" s="7" t="s">
        <v>41</v>
      </c>
      <c r="H188" s="8" t="str">
        <f>IFERROR(INDEX(Lists!$F$5:$F$9,MATCH(G188,Lists!$E$5:$E$9,0)),"")</f>
        <v>Alder Energy (fictional)</v>
      </c>
      <c r="I188" s="8" t="str">
        <f>IFERROR(INDEX(Lists!$G$5:$G$9,MATCH(G188,Lists!$E$5:$E$9,0)),"")</f>
        <v>Y</v>
      </c>
      <c r="J188" s="11">
        <v>8</v>
      </c>
      <c r="K188" s="12">
        <v>118</v>
      </c>
      <c r="L188" s="13">
        <f>IF(I188&lt;&gt;"Y","",IFERROR(INDEX(Lists!$L$5:$L$20,MATCH(D188&amp;"|"&amp;G188,Lists!$I$5:$I$20,0)),""))</f>
        <v>118</v>
      </c>
      <c r="M188" s="10" t="str">
        <f t="shared" si="15"/>
        <v>E017|20260922|P101</v>
      </c>
      <c r="N188" s="10" t="str">
        <f>IF(COUNTIFS($M$5:M188,M188)&gt;1,"DUPLICATE","")</f>
        <v/>
      </c>
      <c r="O188" s="10" t="str">
        <f t="shared" si="16"/>
        <v/>
      </c>
      <c r="P188" s="10" t="str">
        <f t="shared" si="17"/>
        <v/>
      </c>
      <c r="Q188" s="10" t="str">
        <f>IF(COUNTIF(Lists!$E$5:$E$9,G188)=0,"PROJECT?","")</f>
        <v/>
      </c>
      <c r="R188" s="10" t="str">
        <f t="shared" si="18"/>
        <v/>
      </c>
      <c r="S188" s="10" t="str">
        <f>IF(AND(I188="Y",N188="",COUNTIF(Billing_Data!$H$5:$H$319,M188)=0),"NOT BILLED","")</f>
        <v/>
      </c>
      <c r="T188" s="14">
        <f t="shared" si="19"/>
        <v>0</v>
      </c>
      <c r="U188" s="15">
        <f t="shared" si="20"/>
        <v>944</v>
      </c>
    </row>
    <row r="189" spans="1:21" x14ac:dyDescent="0.25">
      <c r="A189" s="7" t="s">
        <v>246</v>
      </c>
      <c r="B189" s="7" t="s">
        <v>240</v>
      </c>
      <c r="C189" s="8" t="str">
        <f>IFERROR(INDEX(Lists!$B$5:$B$34,MATCH(B189,Lists!$A$5:$A$34,0)),"")</f>
        <v>Reese Quill</v>
      </c>
      <c r="D189" s="8" t="str">
        <f>IFERROR(INDEX(Lists!$C$5:$C$34,MATCH(B189,Lists!$A$5:$A$34,0)),"")</f>
        <v>Field Supervisor</v>
      </c>
      <c r="E189" s="9">
        <v>46288</v>
      </c>
      <c r="F189" s="10" t="str">
        <f t="shared" si="14"/>
        <v>Wed</v>
      </c>
      <c r="G189" s="7" t="s">
        <v>41</v>
      </c>
      <c r="H189" s="8" t="str">
        <f>IFERROR(INDEX(Lists!$F$5:$F$9,MATCH(G189,Lists!$E$5:$E$9,0)),"")</f>
        <v>Alder Energy (fictional)</v>
      </c>
      <c r="I189" s="8" t="str">
        <f>IFERROR(INDEX(Lists!$G$5:$G$9,MATCH(G189,Lists!$E$5:$E$9,0)),"")</f>
        <v>Y</v>
      </c>
      <c r="J189" s="11">
        <v>8</v>
      </c>
      <c r="K189" s="12">
        <v>118</v>
      </c>
      <c r="L189" s="13">
        <f>IF(I189&lt;&gt;"Y","",IFERROR(INDEX(Lists!$L$5:$L$20,MATCH(D189&amp;"|"&amp;G189,Lists!$I$5:$I$20,0)),""))</f>
        <v>118</v>
      </c>
      <c r="M189" s="10" t="str">
        <f t="shared" si="15"/>
        <v>E017|20260923|P101</v>
      </c>
      <c r="N189" s="10" t="str">
        <f>IF(COUNTIFS($M$5:M189,M189)&gt;1,"DUPLICATE","")</f>
        <v/>
      </c>
      <c r="O189" s="10" t="str">
        <f t="shared" si="16"/>
        <v/>
      </c>
      <c r="P189" s="10" t="str">
        <f t="shared" si="17"/>
        <v/>
      </c>
      <c r="Q189" s="10" t="str">
        <f>IF(COUNTIF(Lists!$E$5:$E$9,G189)=0,"PROJECT?","")</f>
        <v/>
      </c>
      <c r="R189" s="10" t="str">
        <f t="shared" si="18"/>
        <v/>
      </c>
      <c r="S189" s="10" t="str">
        <f>IF(AND(I189="Y",N189="",COUNTIF(Billing_Data!$H$5:$H$319,M189)=0),"NOT BILLED","")</f>
        <v/>
      </c>
      <c r="T189" s="14">
        <f t="shared" si="19"/>
        <v>0</v>
      </c>
      <c r="U189" s="15">
        <f t="shared" si="20"/>
        <v>944</v>
      </c>
    </row>
    <row r="190" spans="1:21" x14ac:dyDescent="0.25">
      <c r="A190" s="7" t="s">
        <v>247</v>
      </c>
      <c r="B190" s="7" t="s">
        <v>240</v>
      </c>
      <c r="C190" s="8" t="str">
        <f>IFERROR(INDEX(Lists!$B$5:$B$34,MATCH(B190,Lists!$A$5:$A$34,0)),"")</f>
        <v>Reese Quill</v>
      </c>
      <c r="D190" s="8" t="str">
        <f>IFERROR(INDEX(Lists!$C$5:$C$34,MATCH(B190,Lists!$A$5:$A$34,0)),"")</f>
        <v>Field Supervisor</v>
      </c>
      <c r="E190" s="9">
        <v>46289</v>
      </c>
      <c r="F190" s="10" t="str">
        <f t="shared" si="14"/>
        <v>Thu</v>
      </c>
      <c r="G190" s="7" t="s">
        <v>41</v>
      </c>
      <c r="H190" s="8" t="str">
        <f>IFERROR(INDEX(Lists!$F$5:$F$9,MATCH(G190,Lists!$E$5:$E$9,0)),"")</f>
        <v>Alder Energy (fictional)</v>
      </c>
      <c r="I190" s="8" t="str">
        <f>IFERROR(INDEX(Lists!$G$5:$G$9,MATCH(G190,Lists!$E$5:$E$9,0)),"")</f>
        <v>Y</v>
      </c>
      <c r="J190" s="11">
        <v>8</v>
      </c>
      <c r="K190" s="12">
        <v>118</v>
      </c>
      <c r="L190" s="13">
        <f>IF(I190&lt;&gt;"Y","",IFERROR(INDEX(Lists!$L$5:$L$20,MATCH(D190&amp;"|"&amp;G190,Lists!$I$5:$I$20,0)),""))</f>
        <v>118</v>
      </c>
      <c r="M190" s="10" t="str">
        <f t="shared" si="15"/>
        <v>E017|20260924|P101</v>
      </c>
      <c r="N190" s="10" t="str">
        <f>IF(COUNTIFS($M$5:M190,M190)&gt;1,"DUPLICATE","")</f>
        <v/>
      </c>
      <c r="O190" s="10" t="str">
        <f t="shared" si="16"/>
        <v/>
      </c>
      <c r="P190" s="10" t="str">
        <f t="shared" si="17"/>
        <v/>
      </c>
      <c r="Q190" s="10" t="str">
        <f>IF(COUNTIF(Lists!$E$5:$E$9,G190)=0,"PROJECT?","")</f>
        <v/>
      </c>
      <c r="R190" s="10" t="str">
        <f t="shared" si="18"/>
        <v/>
      </c>
      <c r="S190" s="10" t="str">
        <f>IF(AND(I190="Y",N190="",COUNTIF(Billing_Data!$H$5:$H$319,M190)=0),"NOT BILLED","")</f>
        <v/>
      </c>
      <c r="T190" s="14">
        <f t="shared" si="19"/>
        <v>0</v>
      </c>
      <c r="U190" s="15">
        <f t="shared" si="20"/>
        <v>944</v>
      </c>
    </row>
    <row r="191" spans="1:21" x14ac:dyDescent="0.25">
      <c r="A191" s="7" t="s">
        <v>248</v>
      </c>
      <c r="B191" s="7" t="s">
        <v>240</v>
      </c>
      <c r="C191" s="8" t="str">
        <f>IFERROR(INDEX(Lists!$B$5:$B$34,MATCH(B191,Lists!$A$5:$A$34,0)),"")</f>
        <v>Reese Quill</v>
      </c>
      <c r="D191" s="8" t="str">
        <f>IFERROR(INDEX(Lists!$C$5:$C$34,MATCH(B191,Lists!$A$5:$A$34,0)),"")</f>
        <v>Field Supervisor</v>
      </c>
      <c r="E191" s="9">
        <v>46290</v>
      </c>
      <c r="F191" s="10" t="str">
        <f t="shared" si="14"/>
        <v>Fri</v>
      </c>
      <c r="G191" s="7" t="s">
        <v>41</v>
      </c>
      <c r="H191" s="8" t="str">
        <f>IFERROR(INDEX(Lists!$F$5:$F$9,MATCH(G191,Lists!$E$5:$E$9,0)),"")</f>
        <v>Alder Energy (fictional)</v>
      </c>
      <c r="I191" s="8" t="str">
        <f>IFERROR(INDEX(Lists!$G$5:$G$9,MATCH(G191,Lists!$E$5:$E$9,0)),"")</f>
        <v>Y</v>
      </c>
      <c r="J191" s="11">
        <v>8</v>
      </c>
      <c r="K191" s="12">
        <v>118</v>
      </c>
      <c r="L191" s="13">
        <f>IF(I191&lt;&gt;"Y","",IFERROR(INDEX(Lists!$L$5:$L$20,MATCH(D191&amp;"|"&amp;G191,Lists!$I$5:$I$20,0)),""))</f>
        <v>118</v>
      </c>
      <c r="M191" s="10" t="str">
        <f t="shared" si="15"/>
        <v>E017|20260925|P101</v>
      </c>
      <c r="N191" s="10" t="str">
        <f>IF(COUNTIFS($M$5:M191,M191)&gt;1,"DUPLICATE","")</f>
        <v/>
      </c>
      <c r="O191" s="10" t="str">
        <f t="shared" si="16"/>
        <v/>
      </c>
      <c r="P191" s="10" t="str">
        <f t="shared" si="17"/>
        <v/>
      </c>
      <c r="Q191" s="10" t="str">
        <f>IF(COUNTIF(Lists!$E$5:$E$9,G191)=0,"PROJECT?","")</f>
        <v/>
      </c>
      <c r="R191" s="10" t="str">
        <f t="shared" si="18"/>
        <v/>
      </c>
      <c r="S191" s="10" t="str">
        <f>IF(AND(I191="Y",N191="",COUNTIF(Billing_Data!$H$5:$H$319,M191)=0),"NOT BILLED","")</f>
        <v/>
      </c>
      <c r="T191" s="14">
        <f t="shared" si="19"/>
        <v>0</v>
      </c>
      <c r="U191" s="15">
        <f t="shared" si="20"/>
        <v>944</v>
      </c>
    </row>
    <row r="192" spans="1:21" x14ac:dyDescent="0.25">
      <c r="A192" s="7" t="s">
        <v>249</v>
      </c>
      <c r="B192" s="7" t="s">
        <v>250</v>
      </c>
      <c r="C192" s="8" t="str">
        <f>IFERROR(INDEX(Lists!$B$5:$B$34,MATCH(B192,Lists!$A$5:$A$34,0)),"")</f>
        <v>Skyler Radford</v>
      </c>
      <c r="D192" s="8" t="str">
        <f>IFERROR(INDEX(Lists!$C$5:$C$34,MATCH(B192,Lists!$A$5:$A$34,0)),"")</f>
        <v>Field Supervisor</v>
      </c>
      <c r="E192" s="9">
        <v>46279</v>
      </c>
      <c r="F192" s="10" t="str">
        <f t="shared" si="14"/>
        <v>Mon</v>
      </c>
      <c r="G192" s="7" t="s">
        <v>46</v>
      </c>
      <c r="H192" s="8" t="str">
        <f>IFERROR(INDEX(Lists!$F$5:$F$9,MATCH(G192,Lists!$E$5:$E$9,0)),"")</f>
        <v>Birchwood Midstream (fictional)</v>
      </c>
      <c r="I192" s="8" t="str">
        <f>IFERROR(INDEX(Lists!$G$5:$G$9,MATCH(G192,Lists!$E$5:$E$9,0)),"")</f>
        <v>Y</v>
      </c>
      <c r="J192" s="11">
        <v>8</v>
      </c>
      <c r="K192" s="12">
        <v>118</v>
      </c>
      <c r="L192" s="13">
        <f>IF(I192&lt;&gt;"Y","",IFERROR(INDEX(Lists!$L$5:$L$20,MATCH(D192&amp;"|"&amp;G192,Lists!$I$5:$I$20,0)),""))</f>
        <v>124</v>
      </c>
      <c r="M192" s="10" t="str">
        <f t="shared" si="15"/>
        <v>E018|20260914|P102</v>
      </c>
      <c r="N192" s="10" t="str">
        <f>IF(COUNTIFS($M$5:M192,M192)&gt;1,"DUPLICATE","")</f>
        <v/>
      </c>
      <c r="O192" s="10" t="str">
        <f t="shared" si="16"/>
        <v/>
      </c>
      <c r="P192" s="10" t="str">
        <f t="shared" si="17"/>
        <v/>
      </c>
      <c r="Q192" s="10" t="str">
        <f>IF(COUNTIF(Lists!$E$5:$E$9,G192)=0,"PROJECT?","")</f>
        <v/>
      </c>
      <c r="R192" s="10" t="str">
        <f t="shared" si="18"/>
        <v>RATE</v>
      </c>
      <c r="S192" s="10" t="str">
        <f>IF(AND(I192="Y",N192="",COUNTIF(Billing_Data!$H$5:$H$319,M192)=0),"NOT BILLED","")</f>
        <v/>
      </c>
      <c r="T192" s="14">
        <f t="shared" si="19"/>
        <v>1</v>
      </c>
      <c r="U192" s="15">
        <f t="shared" si="20"/>
        <v>992</v>
      </c>
    </row>
    <row r="193" spans="1:21" x14ac:dyDescent="0.25">
      <c r="A193" s="7" t="s">
        <v>251</v>
      </c>
      <c r="B193" s="7" t="s">
        <v>250</v>
      </c>
      <c r="C193" s="8" t="str">
        <f>IFERROR(INDEX(Lists!$B$5:$B$34,MATCH(B193,Lists!$A$5:$A$34,0)),"")</f>
        <v>Skyler Radford</v>
      </c>
      <c r="D193" s="8" t="str">
        <f>IFERROR(INDEX(Lists!$C$5:$C$34,MATCH(B193,Lists!$A$5:$A$34,0)),"")</f>
        <v>Field Supervisor</v>
      </c>
      <c r="E193" s="9">
        <v>46280</v>
      </c>
      <c r="F193" s="10" t="str">
        <f t="shared" si="14"/>
        <v>Tue</v>
      </c>
      <c r="G193" s="7" t="s">
        <v>46</v>
      </c>
      <c r="H193" s="8" t="str">
        <f>IFERROR(INDEX(Lists!$F$5:$F$9,MATCH(G193,Lists!$E$5:$E$9,0)),"")</f>
        <v>Birchwood Midstream (fictional)</v>
      </c>
      <c r="I193" s="8" t="str">
        <f>IFERROR(INDEX(Lists!$G$5:$G$9,MATCH(G193,Lists!$E$5:$E$9,0)),"")</f>
        <v>Y</v>
      </c>
      <c r="J193" s="11">
        <v>8</v>
      </c>
      <c r="K193" s="12">
        <v>124</v>
      </c>
      <c r="L193" s="13">
        <f>IF(I193&lt;&gt;"Y","",IFERROR(INDEX(Lists!$L$5:$L$20,MATCH(D193&amp;"|"&amp;G193,Lists!$I$5:$I$20,0)),""))</f>
        <v>124</v>
      </c>
      <c r="M193" s="10" t="str">
        <f t="shared" si="15"/>
        <v>E018|20260915|P102</v>
      </c>
      <c r="N193" s="10" t="str">
        <f>IF(COUNTIFS($M$5:M193,M193)&gt;1,"DUPLICATE","")</f>
        <v/>
      </c>
      <c r="O193" s="10" t="str">
        <f t="shared" si="16"/>
        <v/>
      </c>
      <c r="P193" s="10" t="str">
        <f t="shared" si="17"/>
        <v/>
      </c>
      <c r="Q193" s="10" t="str">
        <f>IF(COUNTIF(Lists!$E$5:$E$9,G193)=0,"PROJECT?","")</f>
        <v/>
      </c>
      <c r="R193" s="10" t="str">
        <f t="shared" si="18"/>
        <v/>
      </c>
      <c r="S193" s="10" t="str">
        <f>IF(AND(I193="Y",N193="",COUNTIF(Billing_Data!$H$5:$H$319,M193)=0),"NOT BILLED","")</f>
        <v/>
      </c>
      <c r="T193" s="14">
        <f t="shared" si="19"/>
        <v>0</v>
      </c>
      <c r="U193" s="15">
        <f t="shared" si="20"/>
        <v>992</v>
      </c>
    </row>
    <row r="194" spans="1:21" x14ac:dyDescent="0.25">
      <c r="A194" s="7" t="s">
        <v>252</v>
      </c>
      <c r="B194" s="7" t="s">
        <v>250</v>
      </c>
      <c r="C194" s="8" t="str">
        <f>IFERROR(INDEX(Lists!$B$5:$B$34,MATCH(B194,Lists!$A$5:$A$34,0)),"")</f>
        <v>Skyler Radford</v>
      </c>
      <c r="D194" s="8" t="str">
        <f>IFERROR(INDEX(Lists!$C$5:$C$34,MATCH(B194,Lists!$A$5:$A$34,0)),"")</f>
        <v>Field Supervisor</v>
      </c>
      <c r="E194" s="9">
        <v>46281</v>
      </c>
      <c r="F194" s="10" t="str">
        <f t="shared" si="14"/>
        <v>Wed</v>
      </c>
      <c r="G194" s="7" t="s">
        <v>46</v>
      </c>
      <c r="H194" s="8" t="str">
        <f>IFERROR(INDEX(Lists!$F$5:$F$9,MATCH(G194,Lists!$E$5:$E$9,0)),"")</f>
        <v>Birchwood Midstream (fictional)</v>
      </c>
      <c r="I194" s="8" t="str">
        <f>IFERROR(INDEX(Lists!$G$5:$G$9,MATCH(G194,Lists!$E$5:$E$9,0)),"")</f>
        <v>Y</v>
      </c>
      <c r="J194" s="11">
        <v>8</v>
      </c>
      <c r="K194" s="12">
        <v>124</v>
      </c>
      <c r="L194" s="13">
        <f>IF(I194&lt;&gt;"Y","",IFERROR(INDEX(Lists!$L$5:$L$20,MATCH(D194&amp;"|"&amp;G194,Lists!$I$5:$I$20,0)),""))</f>
        <v>124</v>
      </c>
      <c r="M194" s="10" t="str">
        <f t="shared" si="15"/>
        <v>E018|20260916|P102</v>
      </c>
      <c r="N194" s="10" t="str">
        <f>IF(COUNTIFS($M$5:M194,M194)&gt;1,"DUPLICATE","")</f>
        <v/>
      </c>
      <c r="O194" s="10" t="str">
        <f t="shared" si="16"/>
        <v/>
      </c>
      <c r="P194" s="10" t="str">
        <f t="shared" si="17"/>
        <v/>
      </c>
      <c r="Q194" s="10" t="str">
        <f>IF(COUNTIF(Lists!$E$5:$E$9,G194)=0,"PROJECT?","")</f>
        <v/>
      </c>
      <c r="R194" s="10" t="str">
        <f t="shared" si="18"/>
        <v/>
      </c>
      <c r="S194" s="10" t="str">
        <f>IF(AND(I194="Y",N194="",COUNTIF(Billing_Data!$H$5:$H$319,M194)=0),"NOT BILLED","")</f>
        <v/>
      </c>
      <c r="T194" s="14">
        <f t="shared" si="19"/>
        <v>0</v>
      </c>
      <c r="U194" s="15">
        <f t="shared" si="20"/>
        <v>992</v>
      </c>
    </row>
    <row r="195" spans="1:21" x14ac:dyDescent="0.25">
      <c r="A195" s="7" t="s">
        <v>253</v>
      </c>
      <c r="B195" s="7" t="s">
        <v>250</v>
      </c>
      <c r="C195" s="8" t="str">
        <f>IFERROR(INDEX(Lists!$B$5:$B$34,MATCH(B195,Lists!$A$5:$A$34,0)),"")</f>
        <v>Skyler Radford</v>
      </c>
      <c r="D195" s="8" t="str">
        <f>IFERROR(INDEX(Lists!$C$5:$C$34,MATCH(B195,Lists!$A$5:$A$34,0)),"")</f>
        <v>Field Supervisor</v>
      </c>
      <c r="E195" s="9">
        <v>46282</v>
      </c>
      <c r="F195" s="10" t="str">
        <f t="shared" si="14"/>
        <v>Thu</v>
      </c>
      <c r="G195" s="7" t="s">
        <v>46</v>
      </c>
      <c r="H195" s="8" t="str">
        <f>IFERROR(INDEX(Lists!$F$5:$F$9,MATCH(G195,Lists!$E$5:$E$9,0)),"")</f>
        <v>Birchwood Midstream (fictional)</v>
      </c>
      <c r="I195" s="8" t="str">
        <f>IFERROR(INDEX(Lists!$G$5:$G$9,MATCH(G195,Lists!$E$5:$E$9,0)),"")</f>
        <v>Y</v>
      </c>
      <c r="J195" s="11">
        <v>8</v>
      </c>
      <c r="K195" s="12">
        <v>124</v>
      </c>
      <c r="L195" s="13">
        <f>IF(I195&lt;&gt;"Y","",IFERROR(INDEX(Lists!$L$5:$L$20,MATCH(D195&amp;"|"&amp;G195,Lists!$I$5:$I$20,0)),""))</f>
        <v>124</v>
      </c>
      <c r="M195" s="10" t="str">
        <f t="shared" si="15"/>
        <v>E018|20260917|P102</v>
      </c>
      <c r="N195" s="10" t="str">
        <f>IF(COUNTIFS($M$5:M195,M195)&gt;1,"DUPLICATE","")</f>
        <v/>
      </c>
      <c r="O195" s="10" t="str">
        <f t="shared" si="16"/>
        <v/>
      </c>
      <c r="P195" s="10" t="str">
        <f t="shared" si="17"/>
        <v/>
      </c>
      <c r="Q195" s="10" t="str">
        <f>IF(COUNTIF(Lists!$E$5:$E$9,G195)=0,"PROJECT?","")</f>
        <v/>
      </c>
      <c r="R195" s="10" t="str">
        <f t="shared" si="18"/>
        <v/>
      </c>
      <c r="S195" s="10" t="str">
        <f>IF(AND(I195="Y",N195="",COUNTIF(Billing_Data!$H$5:$H$319,M195)=0),"NOT BILLED","")</f>
        <v/>
      </c>
      <c r="T195" s="14">
        <f t="shared" si="19"/>
        <v>0</v>
      </c>
      <c r="U195" s="15">
        <f t="shared" si="20"/>
        <v>992</v>
      </c>
    </row>
    <row r="196" spans="1:21" x14ac:dyDescent="0.25">
      <c r="A196" s="7" t="s">
        <v>254</v>
      </c>
      <c r="B196" s="7" t="s">
        <v>250</v>
      </c>
      <c r="C196" s="8" t="str">
        <f>IFERROR(INDEX(Lists!$B$5:$B$34,MATCH(B196,Lists!$A$5:$A$34,0)),"")</f>
        <v>Skyler Radford</v>
      </c>
      <c r="D196" s="8" t="str">
        <f>IFERROR(INDEX(Lists!$C$5:$C$34,MATCH(B196,Lists!$A$5:$A$34,0)),"")</f>
        <v>Field Supervisor</v>
      </c>
      <c r="E196" s="9">
        <v>46283</v>
      </c>
      <c r="F196" s="10" t="str">
        <f t="shared" si="14"/>
        <v>Fri</v>
      </c>
      <c r="G196" s="7" t="s">
        <v>46</v>
      </c>
      <c r="H196" s="8" t="str">
        <f>IFERROR(INDEX(Lists!$F$5:$F$9,MATCH(G196,Lists!$E$5:$E$9,0)),"")</f>
        <v>Birchwood Midstream (fictional)</v>
      </c>
      <c r="I196" s="8" t="str">
        <f>IFERROR(INDEX(Lists!$G$5:$G$9,MATCH(G196,Lists!$E$5:$E$9,0)),"")</f>
        <v>Y</v>
      </c>
      <c r="J196" s="11">
        <v>8</v>
      </c>
      <c r="K196" s="12">
        <v>124</v>
      </c>
      <c r="L196" s="13">
        <f>IF(I196&lt;&gt;"Y","",IFERROR(INDEX(Lists!$L$5:$L$20,MATCH(D196&amp;"|"&amp;G196,Lists!$I$5:$I$20,0)),""))</f>
        <v>124</v>
      </c>
      <c r="M196" s="10" t="str">
        <f t="shared" si="15"/>
        <v>E018|20260918|P102</v>
      </c>
      <c r="N196" s="10" t="str">
        <f>IF(COUNTIFS($M$5:M196,M196)&gt;1,"DUPLICATE","")</f>
        <v/>
      </c>
      <c r="O196" s="10" t="str">
        <f t="shared" si="16"/>
        <v/>
      </c>
      <c r="P196" s="10" t="str">
        <f t="shared" si="17"/>
        <v/>
      </c>
      <c r="Q196" s="10" t="str">
        <f>IF(COUNTIF(Lists!$E$5:$E$9,G196)=0,"PROJECT?","")</f>
        <v/>
      </c>
      <c r="R196" s="10" t="str">
        <f t="shared" si="18"/>
        <v/>
      </c>
      <c r="S196" s="10" t="str">
        <f>IF(AND(I196="Y",N196="",COUNTIF(Billing_Data!$H$5:$H$319,M196)=0),"NOT BILLED","")</f>
        <v/>
      </c>
      <c r="T196" s="14">
        <f t="shared" si="19"/>
        <v>0</v>
      </c>
      <c r="U196" s="15">
        <f t="shared" si="20"/>
        <v>992</v>
      </c>
    </row>
    <row r="197" spans="1:21" x14ac:dyDescent="0.25">
      <c r="A197" s="7" t="s">
        <v>255</v>
      </c>
      <c r="B197" s="7" t="s">
        <v>250</v>
      </c>
      <c r="C197" s="8" t="str">
        <f>IFERROR(INDEX(Lists!$B$5:$B$34,MATCH(B197,Lists!$A$5:$A$34,0)),"")</f>
        <v>Skyler Radford</v>
      </c>
      <c r="D197" s="8" t="str">
        <f>IFERROR(INDEX(Lists!$C$5:$C$34,MATCH(B197,Lists!$A$5:$A$34,0)),"")</f>
        <v>Field Supervisor</v>
      </c>
      <c r="E197" s="9">
        <v>46286</v>
      </c>
      <c r="F197" s="10" t="str">
        <f t="shared" ref="F197:F260" si="21">TEXT(E197,"ddd")</f>
        <v>Mon</v>
      </c>
      <c r="G197" s="7" t="s">
        <v>46</v>
      </c>
      <c r="H197" s="8" t="str">
        <f>IFERROR(INDEX(Lists!$F$5:$F$9,MATCH(G197,Lists!$E$5:$E$9,0)),"")</f>
        <v>Birchwood Midstream (fictional)</v>
      </c>
      <c r="I197" s="8" t="str">
        <f>IFERROR(INDEX(Lists!$G$5:$G$9,MATCH(G197,Lists!$E$5:$E$9,0)),"")</f>
        <v>Y</v>
      </c>
      <c r="J197" s="11">
        <v>8</v>
      </c>
      <c r="K197" s="12">
        <v>124</v>
      </c>
      <c r="L197" s="13">
        <f>IF(I197&lt;&gt;"Y","",IFERROR(INDEX(Lists!$L$5:$L$20,MATCH(D197&amp;"|"&amp;G197,Lists!$I$5:$I$20,0)),""))</f>
        <v>124</v>
      </c>
      <c r="M197" s="10" t="str">
        <f t="shared" ref="M197:M260" si="22">B197&amp;"|"&amp;TEXT(E197,"yyyymmdd")&amp;"|"&amp;G197</f>
        <v>E018|20260921|P102</v>
      </c>
      <c r="N197" s="10" t="str">
        <f>IF(COUNTIFS($M$5:M197,M197)&gt;1,"DUPLICATE","")</f>
        <v/>
      </c>
      <c r="O197" s="10" t="str">
        <f t="shared" ref="O197:O260" si="23">IF(OR(J197&lt;=0,J197&gt;12),"HOURS?","")</f>
        <v/>
      </c>
      <c r="P197" s="10" t="str">
        <f t="shared" ref="P197:P260" si="24">IF(WEEKDAY(E197,2)&gt;5,"WEEKEND","")</f>
        <v/>
      </c>
      <c r="Q197" s="10" t="str">
        <f>IF(COUNTIF(Lists!$E$5:$E$9,G197)=0,"PROJECT?","")</f>
        <v/>
      </c>
      <c r="R197" s="10" t="str">
        <f t="shared" ref="R197:R260" si="25">IF(AND(I197="Y",L197&lt;&gt;"",K197&lt;&gt;L197),"RATE","")</f>
        <v/>
      </c>
      <c r="S197" s="10" t="str">
        <f>IF(AND(I197="Y",N197="",COUNTIF(Billing_Data!$H$5:$H$319,M197)=0),"NOT BILLED","")</f>
        <v/>
      </c>
      <c r="T197" s="14">
        <f t="shared" ref="T197:T260" si="26">SUMPRODUCT(--(LEN(N197:S197)&gt;0))</f>
        <v>0</v>
      </c>
      <c r="U197" s="15">
        <f t="shared" ref="U197:U260" si="27">IF(AND(I197="Y",N197="",L197&lt;&gt;""),J197*L197,0)</f>
        <v>992</v>
      </c>
    </row>
    <row r="198" spans="1:21" x14ac:dyDescent="0.25">
      <c r="A198" s="7" t="s">
        <v>256</v>
      </c>
      <c r="B198" s="7" t="s">
        <v>250</v>
      </c>
      <c r="C198" s="8" t="str">
        <f>IFERROR(INDEX(Lists!$B$5:$B$34,MATCH(B198,Lists!$A$5:$A$34,0)),"")</f>
        <v>Skyler Radford</v>
      </c>
      <c r="D198" s="8" t="str">
        <f>IFERROR(INDEX(Lists!$C$5:$C$34,MATCH(B198,Lists!$A$5:$A$34,0)),"")</f>
        <v>Field Supervisor</v>
      </c>
      <c r="E198" s="9">
        <v>46287</v>
      </c>
      <c r="F198" s="10" t="str">
        <f t="shared" si="21"/>
        <v>Tue</v>
      </c>
      <c r="G198" s="7" t="s">
        <v>46</v>
      </c>
      <c r="H198" s="8" t="str">
        <f>IFERROR(INDEX(Lists!$F$5:$F$9,MATCH(G198,Lists!$E$5:$E$9,0)),"")</f>
        <v>Birchwood Midstream (fictional)</v>
      </c>
      <c r="I198" s="8" t="str">
        <f>IFERROR(INDEX(Lists!$G$5:$G$9,MATCH(G198,Lists!$E$5:$E$9,0)),"")</f>
        <v>Y</v>
      </c>
      <c r="J198" s="11">
        <v>4</v>
      </c>
      <c r="K198" s="12">
        <v>124</v>
      </c>
      <c r="L198" s="13">
        <f>IF(I198&lt;&gt;"Y","",IFERROR(INDEX(Lists!$L$5:$L$20,MATCH(D198&amp;"|"&amp;G198,Lists!$I$5:$I$20,0)),""))</f>
        <v>124</v>
      </c>
      <c r="M198" s="10" t="str">
        <f t="shared" si="22"/>
        <v>E018|20260922|P102</v>
      </c>
      <c r="N198" s="10" t="str">
        <f>IF(COUNTIFS($M$5:M198,M198)&gt;1,"DUPLICATE","")</f>
        <v/>
      </c>
      <c r="O198" s="10" t="str">
        <f t="shared" si="23"/>
        <v/>
      </c>
      <c r="P198" s="10" t="str">
        <f t="shared" si="24"/>
        <v/>
      </c>
      <c r="Q198" s="10" t="str">
        <f>IF(COUNTIF(Lists!$E$5:$E$9,G198)=0,"PROJECT?","")</f>
        <v/>
      </c>
      <c r="R198" s="10" t="str">
        <f t="shared" si="25"/>
        <v/>
      </c>
      <c r="S198" s="10" t="str">
        <f>IF(AND(I198="Y",N198="",COUNTIF(Billing_Data!$H$5:$H$319,M198)=0),"NOT BILLED","")</f>
        <v/>
      </c>
      <c r="T198" s="14">
        <f t="shared" si="26"/>
        <v>0</v>
      </c>
      <c r="U198" s="15">
        <f t="shared" si="27"/>
        <v>496</v>
      </c>
    </row>
    <row r="199" spans="1:21" x14ac:dyDescent="0.25">
      <c r="A199" s="7" t="s">
        <v>257</v>
      </c>
      <c r="B199" s="7" t="s">
        <v>250</v>
      </c>
      <c r="C199" s="8" t="str">
        <f>IFERROR(INDEX(Lists!$B$5:$B$34,MATCH(B199,Lists!$A$5:$A$34,0)),"")</f>
        <v>Skyler Radford</v>
      </c>
      <c r="D199" s="8" t="str">
        <f>IFERROR(INDEX(Lists!$C$5:$C$34,MATCH(B199,Lists!$A$5:$A$34,0)),"")</f>
        <v>Field Supervisor</v>
      </c>
      <c r="E199" s="9">
        <v>46287</v>
      </c>
      <c r="F199" s="10" t="str">
        <f t="shared" si="21"/>
        <v>Tue</v>
      </c>
      <c r="G199" s="7" t="s">
        <v>41</v>
      </c>
      <c r="H199" s="8" t="str">
        <f>IFERROR(INDEX(Lists!$F$5:$F$9,MATCH(G199,Lists!$E$5:$E$9,0)),"")</f>
        <v>Alder Energy (fictional)</v>
      </c>
      <c r="I199" s="8" t="str">
        <f>IFERROR(INDEX(Lists!$G$5:$G$9,MATCH(G199,Lists!$E$5:$E$9,0)),"")</f>
        <v>Y</v>
      </c>
      <c r="J199" s="11">
        <v>4</v>
      </c>
      <c r="K199" s="12">
        <v>118</v>
      </c>
      <c r="L199" s="13">
        <f>IF(I199&lt;&gt;"Y","",IFERROR(INDEX(Lists!$L$5:$L$20,MATCH(D199&amp;"|"&amp;G199,Lists!$I$5:$I$20,0)),""))</f>
        <v>118</v>
      </c>
      <c r="M199" s="10" t="str">
        <f t="shared" si="22"/>
        <v>E018|20260922|P101</v>
      </c>
      <c r="N199" s="10" t="str">
        <f>IF(COUNTIFS($M$5:M199,M199)&gt;1,"DUPLICATE","")</f>
        <v/>
      </c>
      <c r="O199" s="10" t="str">
        <f t="shared" si="23"/>
        <v/>
      </c>
      <c r="P199" s="10" t="str">
        <f t="shared" si="24"/>
        <v/>
      </c>
      <c r="Q199" s="10" t="str">
        <f>IF(COUNTIF(Lists!$E$5:$E$9,G199)=0,"PROJECT?","")</f>
        <v/>
      </c>
      <c r="R199" s="10" t="str">
        <f t="shared" si="25"/>
        <v/>
      </c>
      <c r="S199" s="10" t="str">
        <f>IF(AND(I199="Y",N199="",COUNTIF(Billing_Data!$H$5:$H$319,M199)=0),"NOT BILLED","")</f>
        <v/>
      </c>
      <c r="T199" s="14">
        <f t="shared" si="26"/>
        <v>0</v>
      </c>
      <c r="U199" s="15">
        <f t="shared" si="27"/>
        <v>472</v>
      </c>
    </row>
    <row r="200" spans="1:21" x14ac:dyDescent="0.25">
      <c r="A200" s="7" t="s">
        <v>258</v>
      </c>
      <c r="B200" s="7" t="s">
        <v>250</v>
      </c>
      <c r="C200" s="8" t="str">
        <f>IFERROR(INDEX(Lists!$B$5:$B$34,MATCH(B200,Lists!$A$5:$A$34,0)),"")</f>
        <v>Skyler Radford</v>
      </c>
      <c r="D200" s="8" t="str">
        <f>IFERROR(INDEX(Lists!$C$5:$C$34,MATCH(B200,Lists!$A$5:$A$34,0)),"")</f>
        <v>Field Supervisor</v>
      </c>
      <c r="E200" s="9">
        <v>46288</v>
      </c>
      <c r="F200" s="10" t="str">
        <f t="shared" si="21"/>
        <v>Wed</v>
      </c>
      <c r="G200" s="7" t="s">
        <v>46</v>
      </c>
      <c r="H200" s="8" t="str">
        <f>IFERROR(INDEX(Lists!$F$5:$F$9,MATCH(G200,Lists!$E$5:$E$9,0)),"")</f>
        <v>Birchwood Midstream (fictional)</v>
      </c>
      <c r="I200" s="8" t="str">
        <f>IFERROR(INDEX(Lists!$G$5:$G$9,MATCH(G200,Lists!$E$5:$E$9,0)),"")</f>
        <v>Y</v>
      </c>
      <c r="J200" s="11">
        <v>8</v>
      </c>
      <c r="K200" s="12">
        <v>124</v>
      </c>
      <c r="L200" s="13">
        <f>IF(I200&lt;&gt;"Y","",IFERROR(INDEX(Lists!$L$5:$L$20,MATCH(D200&amp;"|"&amp;G200,Lists!$I$5:$I$20,0)),""))</f>
        <v>124</v>
      </c>
      <c r="M200" s="10" t="str">
        <f t="shared" si="22"/>
        <v>E018|20260923|P102</v>
      </c>
      <c r="N200" s="10" t="str">
        <f>IF(COUNTIFS($M$5:M200,M200)&gt;1,"DUPLICATE","")</f>
        <v/>
      </c>
      <c r="O200" s="10" t="str">
        <f t="shared" si="23"/>
        <v/>
      </c>
      <c r="P200" s="10" t="str">
        <f t="shared" si="24"/>
        <v/>
      </c>
      <c r="Q200" s="10" t="str">
        <f>IF(COUNTIF(Lists!$E$5:$E$9,G200)=0,"PROJECT?","")</f>
        <v/>
      </c>
      <c r="R200" s="10" t="str">
        <f t="shared" si="25"/>
        <v/>
      </c>
      <c r="S200" s="10" t="str">
        <f>IF(AND(I200="Y",N200="",COUNTIF(Billing_Data!$H$5:$H$319,M200)=0),"NOT BILLED","")</f>
        <v/>
      </c>
      <c r="T200" s="14">
        <f t="shared" si="26"/>
        <v>0</v>
      </c>
      <c r="U200" s="15">
        <f t="shared" si="27"/>
        <v>992</v>
      </c>
    </row>
    <row r="201" spans="1:21" x14ac:dyDescent="0.25">
      <c r="A201" s="7" t="s">
        <v>259</v>
      </c>
      <c r="B201" s="7" t="s">
        <v>250</v>
      </c>
      <c r="C201" s="8" t="str">
        <f>IFERROR(INDEX(Lists!$B$5:$B$34,MATCH(B201,Lists!$A$5:$A$34,0)),"")</f>
        <v>Skyler Radford</v>
      </c>
      <c r="D201" s="8" t="str">
        <f>IFERROR(INDEX(Lists!$C$5:$C$34,MATCH(B201,Lists!$A$5:$A$34,0)),"")</f>
        <v>Field Supervisor</v>
      </c>
      <c r="E201" s="9">
        <v>46289</v>
      </c>
      <c r="F201" s="10" t="str">
        <f t="shared" si="21"/>
        <v>Thu</v>
      </c>
      <c r="G201" s="7" t="s">
        <v>46</v>
      </c>
      <c r="H201" s="8" t="str">
        <f>IFERROR(INDEX(Lists!$F$5:$F$9,MATCH(G201,Lists!$E$5:$E$9,0)),"")</f>
        <v>Birchwood Midstream (fictional)</v>
      </c>
      <c r="I201" s="8" t="str">
        <f>IFERROR(INDEX(Lists!$G$5:$G$9,MATCH(G201,Lists!$E$5:$E$9,0)),"")</f>
        <v>Y</v>
      </c>
      <c r="J201" s="11">
        <v>8</v>
      </c>
      <c r="K201" s="12">
        <v>124</v>
      </c>
      <c r="L201" s="13">
        <f>IF(I201&lt;&gt;"Y","",IFERROR(INDEX(Lists!$L$5:$L$20,MATCH(D201&amp;"|"&amp;G201,Lists!$I$5:$I$20,0)),""))</f>
        <v>124</v>
      </c>
      <c r="M201" s="10" t="str">
        <f t="shared" si="22"/>
        <v>E018|20260924|P102</v>
      </c>
      <c r="N201" s="10" t="str">
        <f>IF(COUNTIFS($M$5:M201,M201)&gt;1,"DUPLICATE","")</f>
        <v/>
      </c>
      <c r="O201" s="10" t="str">
        <f t="shared" si="23"/>
        <v/>
      </c>
      <c r="P201" s="10" t="str">
        <f t="shared" si="24"/>
        <v/>
      </c>
      <c r="Q201" s="10" t="str">
        <f>IF(COUNTIF(Lists!$E$5:$E$9,G201)=0,"PROJECT?","")</f>
        <v/>
      </c>
      <c r="R201" s="10" t="str">
        <f t="shared" si="25"/>
        <v/>
      </c>
      <c r="S201" s="10" t="str">
        <f>IF(AND(I201="Y",N201="",COUNTIF(Billing_Data!$H$5:$H$319,M201)=0),"NOT BILLED","")</f>
        <v/>
      </c>
      <c r="T201" s="14">
        <f t="shared" si="26"/>
        <v>0</v>
      </c>
      <c r="U201" s="15">
        <f t="shared" si="27"/>
        <v>992</v>
      </c>
    </row>
    <row r="202" spans="1:21" x14ac:dyDescent="0.25">
      <c r="A202" s="7" t="s">
        <v>260</v>
      </c>
      <c r="B202" s="7" t="s">
        <v>250</v>
      </c>
      <c r="C202" s="8" t="str">
        <f>IFERROR(INDEX(Lists!$B$5:$B$34,MATCH(B202,Lists!$A$5:$A$34,0)),"")</f>
        <v>Skyler Radford</v>
      </c>
      <c r="D202" s="8" t="str">
        <f>IFERROR(INDEX(Lists!$C$5:$C$34,MATCH(B202,Lists!$A$5:$A$34,0)),"")</f>
        <v>Field Supervisor</v>
      </c>
      <c r="E202" s="9">
        <v>46290</v>
      </c>
      <c r="F202" s="10" t="str">
        <f t="shared" si="21"/>
        <v>Fri</v>
      </c>
      <c r="G202" s="7" t="s">
        <v>46</v>
      </c>
      <c r="H202" s="8" t="str">
        <f>IFERROR(INDEX(Lists!$F$5:$F$9,MATCH(G202,Lists!$E$5:$E$9,0)),"")</f>
        <v>Birchwood Midstream (fictional)</v>
      </c>
      <c r="I202" s="8" t="str">
        <f>IFERROR(INDEX(Lists!$G$5:$G$9,MATCH(G202,Lists!$E$5:$E$9,0)),"")</f>
        <v>Y</v>
      </c>
      <c r="J202" s="11">
        <v>8</v>
      </c>
      <c r="K202" s="12">
        <v>124</v>
      </c>
      <c r="L202" s="13">
        <f>IF(I202&lt;&gt;"Y","",IFERROR(INDEX(Lists!$L$5:$L$20,MATCH(D202&amp;"|"&amp;G202,Lists!$I$5:$I$20,0)),""))</f>
        <v>124</v>
      </c>
      <c r="M202" s="10" t="str">
        <f t="shared" si="22"/>
        <v>E018|20260925|P102</v>
      </c>
      <c r="N202" s="10" t="str">
        <f>IF(COUNTIFS($M$5:M202,M202)&gt;1,"DUPLICATE","")</f>
        <v/>
      </c>
      <c r="O202" s="10" t="str">
        <f t="shared" si="23"/>
        <v/>
      </c>
      <c r="P202" s="10" t="str">
        <f t="shared" si="24"/>
        <v/>
      </c>
      <c r="Q202" s="10" t="str">
        <f>IF(COUNTIF(Lists!$E$5:$E$9,G202)=0,"PROJECT?","")</f>
        <v/>
      </c>
      <c r="R202" s="10" t="str">
        <f t="shared" si="25"/>
        <v/>
      </c>
      <c r="S202" s="10" t="str">
        <f>IF(AND(I202="Y",N202="",COUNTIF(Billing_Data!$H$5:$H$319,M202)=0),"NOT BILLED","")</f>
        <v/>
      </c>
      <c r="T202" s="14">
        <f t="shared" si="26"/>
        <v>0</v>
      </c>
      <c r="U202" s="15">
        <f t="shared" si="27"/>
        <v>992</v>
      </c>
    </row>
    <row r="203" spans="1:21" x14ac:dyDescent="0.25">
      <c r="A203" s="7" t="s">
        <v>261</v>
      </c>
      <c r="B203" s="7" t="s">
        <v>262</v>
      </c>
      <c r="C203" s="8" t="str">
        <f>IFERROR(INDEX(Lists!$B$5:$B$34,MATCH(B203,Lists!$A$5:$A$34,0)),"")</f>
        <v>Jamie Sterling</v>
      </c>
      <c r="D203" s="8" t="str">
        <f>IFERROR(INDEX(Lists!$C$5:$C$34,MATCH(B203,Lists!$A$5:$A$34,0)),"")</f>
        <v>Field Supervisor</v>
      </c>
      <c r="E203" s="9">
        <v>46279</v>
      </c>
      <c r="F203" s="10" t="str">
        <f t="shared" si="21"/>
        <v>Mon</v>
      </c>
      <c r="G203" s="7" t="s">
        <v>50</v>
      </c>
      <c r="H203" s="8" t="str">
        <f>IFERROR(INDEX(Lists!$F$5:$F$9,MATCH(G203,Lists!$E$5:$E$9,0)),"")</f>
        <v>Cedar Industrial (fictional)</v>
      </c>
      <c r="I203" s="8" t="str">
        <f>IFERROR(INDEX(Lists!$G$5:$G$9,MATCH(G203,Lists!$E$5:$E$9,0)),"")</f>
        <v>Y</v>
      </c>
      <c r="J203" s="11">
        <v>8</v>
      </c>
      <c r="K203" s="12">
        <v>112</v>
      </c>
      <c r="L203" s="13">
        <f>IF(I203&lt;&gt;"Y","",IFERROR(INDEX(Lists!$L$5:$L$20,MATCH(D203&amp;"|"&amp;G203,Lists!$I$5:$I$20,0)),""))</f>
        <v>112</v>
      </c>
      <c r="M203" s="10" t="str">
        <f t="shared" si="22"/>
        <v>E019|20260914|P103</v>
      </c>
      <c r="N203" s="10" t="str">
        <f>IF(COUNTIFS($M$5:M203,M203)&gt;1,"DUPLICATE","")</f>
        <v/>
      </c>
      <c r="O203" s="10" t="str">
        <f t="shared" si="23"/>
        <v/>
      </c>
      <c r="P203" s="10" t="str">
        <f t="shared" si="24"/>
        <v/>
      </c>
      <c r="Q203" s="10" t="str">
        <f>IF(COUNTIF(Lists!$E$5:$E$9,G203)=0,"PROJECT?","")</f>
        <v/>
      </c>
      <c r="R203" s="10" t="str">
        <f t="shared" si="25"/>
        <v/>
      </c>
      <c r="S203" s="10" t="str">
        <f>IF(AND(I203="Y",N203="",COUNTIF(Billing_Data!$H$5:$H$319,M203)=0),"NOT BILLED","")</f>
        <v/>
      </c>
      <c r="T203" s="14">
        <f t="shared" si="26"/>
        <v>0</v>
      </c>
      <c r="U203" s="15">
        <f t="shared" si="27"/>
        <v>896</v>
      </c>
    </row>
    <row r="204" spans="1:21" x14ac:dyDescent="0.25">
      <c r="A204" s="7" t="s">
        <v>263</v>
      </c>
      <c r="B204" s="7" t="s">
        <v>262</v>
      </c>
      <c r="C204" s="8" t="str">
        <f>IFERROR(INDEX(Lists!$B$5:$B$34,MATCH(B204,Lists!$A$5:$A$34,0)),"")</f>
        <v>Jamie Sterling</v>
      </c>
      <c r="D204" s="8" t="str">
        <f>IFERROR(INDEX(Lists!$C$5:$C$34,MATCH(B204,Lists!$A$5:$A$34,0)),"")</f>
        <v>Field Supervisor</v>
      </c>
      <c r="E204" s="9">
        <v>46280</v>
      </c>
      <c r="F204" s="10" t="str">
        <f t="shared" si="21"/>
        <v>Tue</v>
      </c>
      <c r="G204" s="7" t="s">
        <v>50</v>
      </c>
      <c r="H204" s="8" t="str">
        <f>IFERROR(INDEX(Lists!$F$5:$F$9,MATCH(G204,Lists!$E$5:$E$9,0)),"")</f>
        <v>Cedar Industrial (fictional)</v>
      </c>
      <c r="I204" s="8" t="str">
        <f>IFERROR(INDEX(Lists!$G$5:$G$9,MATCH(G204,Lists!$E$5:$E$9,0)),"")</f>
        <v>Y</v>
      </c>
      <c r="J204" s="11">
        <v>8</v>
      </c>
      <c r="K204" s="12">
        <v>112</v>
      </c>
      <c r="L204" s="13">
        <f>IF(I204&lt;&gt;"Y","",IFERROR(INDEX(Lists!$L$5:$L$20,MATCH(D204&amp;"|"&amp;G204,Lists!$I$5:$I$20,0)),""))</f>
        <v>112</v>
      </c>
      <c r="M204" s="10" t="str">
        <f t="shared" si="22"/>
        <v>E019|20260915|P103</v>
      </c>
      <c r="N204" s="10" t="str">
        <f>IF(COUNTIFS($M$5:M204,M204)&gt;1,"DUPLICATE","")</f>
        <v/>
      </c>
      <c r="O204" s="10" t="str">
        <f t="shared" si="23"/>
        <v/>
      </c>
      <c r="P204" s="10" t="str">
        <f t="shared" si="24"/>
        <v/>
      </c>
      <c r="Q204" s="10" t="str">
        <f>IF(COUNTIF(Lists!$E$5:$E$9,G204)=0,"PROJECT?","")</f>
        <v/>
      </c>
      <c r="R204" s="10" t="str">
        <f t="shared" si="25"/>
        <v/>
      </c>
      <c r="S204" s="10" t="str">
        <f>IF(AND(I204="Y",N204="",COUNTIF(Billing_Data!$H$5:$H$319,M204)=0),"NOT BILLED","")</f>
        <v/>
      </c>
      <c r="T204" s="14">
        <f t="shared" si="26"/>
        <v>0</v>
      </c>
      <c r="U204" s="15">
        <f t="shared" si="27"/>
        <v>896</v>
      </c>
    </row>
    <row r="205" spans="1:21" x14ac:dyDescent="0.25">
      <c r="A205" s="7" t="s">
        <v>264</v>
      </c>
      <c r="B205" s="7" t="s">
        <v>262</v>
      </c>
      <c r="C205" s="8" t="str">
        <f>IFERROR(INDEX(Lists!$B$5:$B$34,MATCH(B205,Lists!$A$5:$A$34,0)),"")</f>
        <v>Jamie Sterling</v>
      </c>
      <c r="D205" s="8" t="str">
        <f>IFERROR(INDEX(Lists!$C$5:$C$34,MATCH(B205,Lists!$A$5:$A$34,0)),"")</f>
        <v>Field Supervisor</v>
      </c>
      <c r="E205" s="9">
        <v>46281</v>
      </c>
      <c r="F205" s="10" t="str">
        <f t="shared" si="21"/>
        <v>Wed</v>
      </c>
      <c r="G205" s="7" t="s">
        <v>50</v>
      </c>
      <c r="H205" s="8" t="str">
        <f>IFERROR(INDEX(Lists!$F$5:$F$9,MATCH(G205,Lists!$E$5:$E$9,0)),"")</f>
        <v>Cedar Industrial (fictional)</v>
      </c>
      <c r="I205" s="8" t="str">
        <f>IFERROR(INDEX(Lists!$G$5:$G$9,MATCH(G205,Lists!$E$5:$E$9,0)),"")</f>
        <v>Y</v>
      </c>
      <c r="J205" s="11">
        <v>8</v>
      </c>
      <c r="K205" s="12">
        <v>112</v>
      </c>
      <c r="L205" s="13">
        <f>IF(I205&lt;&gt;"Y","",IFERROR(INDEX(Lists!$L$5:$L$20,MATCH(D205&amp;"|"&amp;G205,Lists!$I$5:$I$20,0)),""))</f>
        <v>112</v>
      </c>
      <c r="M205" s="10" t="str">
        <f t="shared" si="22"/>
        <v>E019|20260916|P103</v>
      </c>
      <c r="N205" s="10" t="str">
        <f>IF(COUNTIFS($M$5:M205,M205)&gt;1,"DUPLICATE","")</f>
        <v/>
      </c>
      <c r="O205" s="10" t="str">
        <f t="shared" si="23"/>
        <v/>
      </c>
      <c r="P205" s="10" t="str">
        <f t="shared" si="24"/>
        <v/>
      </c>
      <c r="Q205" s="10" t="str">
        <f>IF(COUNTIF(Lists!$E$5:$E$9,G205)=0,"PROJECT?","")</f>
        <v/>
      </c>
      <c r="R205" s="10" t="str">
        <f t="shared" si="25"/>
        <v/>
      </c>
      <c r="S205" s="10" t="str">
        <f>IF(AND(I205="Y",N205="",COUNTIF(Billing_Data!$H$5:$H$319,M205)=0),"NOT BILLED","")</f>
        <v/>
      </c>
      <c r="T205" s="14">
        <f t="shared" si="26"/>
        <v>0</v>
      </c>
      <c r="U205" s="15">
        <f t="shared" si="27"/>
        <v>896</v>
      </c>
    </row>
    <row r="206" spans="1:21" x14ac:dyDescent="0.25">
      <c r="A206" s="7" t="s">
        <v>265</v>
      </c>
      <c r="B206" s="7" t="s">
        <v>262</v>
      </c>
      <c r="C206" s="8" t="str">
        <f>IFERROR(INDEX(Lists!$B$5:$B$34,MATCH(B206,Lists!$A$5:$A$34,0)),"")</f>
        <v>Jamie Sterling</v>
      </c>
      <c r="D206" s="8" t="str">
        <f>IFERROR(INDEX(Lists!$C$5:$C$34,MATCH(B206,Lists!$A$5:$A$34,0)),"")</f>
        <v>Field Supervisor</v>
      </c>
      <c r="E206" s="9">
        <v>46282</v>
      </c>
      <c r="F206" s="10" t="str">
        <f t="shared" si="21"/>
        <v>Thu</v>
      </c>
      <c r="G206" s="7" t="s">
        <v>50</v>
      </c>
      <c r="H206" s="8" t="str">
        <f>IFERROR(INDEX(Lists!$F$5:$F$9,MATCH(G206,Lists!$E$5:$E$9,0)),"")</f>
        <v>Cedar Industrial (fictional)</v>
      </c>
      <c r="I206" s="8" t="str">
        <f>IFERROR(INDEX(Lists!$G$5:$G$9,MATCH(G206,Lists!$E$5:$E$9,0)),"")</f>
        <v>Y</v>
      </c>
      <c r="J206" s="11">
        <v>8</v>
      </c>
      <c r="K206" s="12">
        <v>112</v>
      </c>
      <c r="L206" s="13">
        <f>IF(I206&lt;&gt;"Y","",IFERROR(INDEX(Lists!$L$5:$L$20,MATCH(D206&amp;"|"&amp;G206,Lists!$I$5:$I$20,0)),""))</f>
        <v>112</v>
      </c>
      <c r="M206" s="10" t="str">
        <f t="shared" si="22"/>
        <v>E019|20260917|P103</v>
      </c>
      <c r="N206" s="10" t="str">
        <f>IF(COUNTIFS($M$5:M206,M206)&gt;1,"DUPLICATE","")</f>
        <v/>
      </c>
      <c r="O206" s="10" t="str">
        <f t="shared" si="23"/>
        <v/>
      </c>
      <c r="P206" s="10" t="str">
        <f t="shared" si="24"/>
        <v/>
      </c>
      <c r="Q206" s="10" t="str">
        <f>IF(COUNTIF(Lists!$E$5:$E$9,G206)=0,"PROJECT?","")</f>
        <v/>
      </c>
      <c r="R206" s="10" t="str">
        <f t="shared" si="25"/>
        <v/>
      </c>
      <c r="S206" s="10" t="str">
        <f>IF(AND(I206="Y",N206="",COUNTIF(Billing_Data!$H$5:$H$319,M206)=0),"NOT BILLED","")</f>
        <v/>
      </c>
      <c r="T206" s="14">
        <f t="shared" si="26"/>
        <v>0</v>
      </c>
      <c r="U206" s="15">
        <f t="shared" si="27"/>
        <v>896</v>
      </c>
    </row>
    <row r="207" spans="1:21" x14ac:dyDescent="0.25">
      <c r="A207" s="7" t="s">
        <v>266</v>
      </c>
      <c r="B207" s="7" t="s">
        <v>262</v>
      </c>
      <c r="C207" s="8" t="str">
        <f>IFERROR(INDEX(Lists!$B$5:$B$34,MATCH(B207,Lists!$A$5:$A$34,0)),"")</f>
        <v>Jamie Sterling</v>
      </c>
      <c r="D207" s="8" t="str">
        <f>IFERROR(INDEX(Lists!$C$5:$C$34,MATCH(B207,Lists!$A$5:$A$34,0)),"")</f>
        <v>Field Supervisor</v>
      </c>
      <c r="E207" s="9">
        <v>46283</v>
      </c>
      <c r="F207" s="10" t="str">
        <f t="shared" si="21"/>
        <v>Fri</v>
      </c>
      <c r="G207" s="7" t="s">
        <v>50</v>
      </c>
      <c r="H207" s="8" t="str">
        <f>IFERROR(INDEX(Lists!$F$5:$F$9,MATCH(G207,Lists!$E$5:$E$9,0)),"")</f>
        <v>Cedar Industrial (fictional)</v>
      </c>
      <c r="I207" s="8" t="str">
        <f>IFERROR(INDEX(Lists!$G$5:$G$9,MATCH(G207,Lists!$E$5:$E$9,0)),"")</f>
        <v>Y</v>
      </c>
      <c r="J207" s="11">
        <v>8</v>
      </c>
      <c r="K207" s="12">
        <v>112</v>
      </c>
      <c r="L207" s="13">
        <f>IF(I207&lt;&gt;"Y","",IFERROR(INDEX(Lists!$L$5:$L$20,MATCH(D207&amp;"|"&amp;G207,Lists!$I$5:$I$20,0)),""))</f>
        <v>112</v>
      </c>
      <c r="M207" s="10" t="str">
        <f t="shared" si="22"/>
        <v>E019|20260918|P103</v>
      </c>
      <c r="N207" s="10" t="str">
        <f>IF(COUNTIFS($M$5:M207,M207)&gt;1,"DUPLICATE","")</f>
        <v/>
      </c>
      <c r="O207" s="10" t="str">
        <f t="shared" si="23"/>
        <v/>
      </c>
      <c r="P207" s="10" t="str">
        <f t="shared" si="24"/>
        <v/>
      </c>
      <c r="Q207" s="10" t="str">
        <f>IF(COUNTIF(Lists!$E$5:$E$9,G207)=0,"PROJECT?","")</f>
        <v/>
      </c>
      <c r="R207" s="10" t="str">
        <f t="shared" si="25"/>
        <v/>
      </c>
      <c r="S207" s="10" t="str">
        <f>IF(AND(I207="Y",N207="",COUNTIF(Billing_Data!$H$5:$H$319,M207)=0),"NOT BILLED","")</f>
        <v/>
      </c>
      <c r="T207" s="14">
        <f t="shared" si="26"/>
        <v>0</v>
      </c>
      <c r="U207" s="15">
        <f t="shared" si="27"/>
        <v>896</v>
      </c>
    </row>
    <row r="208" spans="1:21" x14ac:dyDescent="0.25">
      <c r="A208" s="7" t="s">
        <v>267</v>
      </c>
      <c r="B208" s="7" t="s">
        <v>262</v>
      </c>
      <c r="C208" s="8" t="str">
        <f>IFERROR(INDEX(Lists!$B$5:$B$34,MATCH(B208,Lists!$A$5:$A$34,0)),"")</f>
        <v>Jamie Sterling</v>
      </c>
      <c r="D208" s="8" t="str">
        <f>IFERROR(INDEX(Lists!$C$5:$C$34,MATCH(B208,Lists!$A$5:$A$34,0)),"")</f>
        <v>Field Supervisor</v>
      </c>
      <c r="E208" s="9">
        <v>46286</v>
      </c>
      <c r="F208" s="10" t="str">
        <f t="shared" si="21"/>
        <v>Mon</v>
      </c>
      <c r="G208" s="7" t="s">
        <v>50</v>
      </c>
      <c r="H208" s="8" t="str">
        <f>IFERROR(INDEX(Lists!$F$5:$F$9,MATCH(G208,Lists!$E$5:$E$9,0)),"")</f>
        <v>Cedar Industrial (fictional)</v>
      </c>
      <c r="I208" s="8" t="str">
        <f>IFERROR(INDEX(Lists!$G$5:$G$9,MATCH(G208,Lists!$E$5:$E$9,0)),"")</f>
        <v>Y</v>
      </c>
      <c r="J208" s="11">
        <v>8</v>
      </c>
      <c r="K208" s="12">
        <v>112</v>
      </c>
      <c r="L208" s="13">
        <f>IF(I208&lt;&gt;"Y","",IFERROR(INDEX(Lists!$L$5:$L$20,MATCH(D208&amp;"|"&amp;G208,Lists!$I$5:$I$20,0)),""))</f>
        <v>112</v>
      </c>
      <c r="M208" s="10" t="str">
        <f t="shared" si="22"/>
        <v>E019|20260921|P103</v>
      </c>
      <c r="N208" s="10" t="str">
        <f>IF(COUNTIFS($M$5:M208,M208)&gt;1,"DUPLICATE","")</f>
        <v/>
      </c>
      <c r="O208" s="10" t="str">
        <f t="shared" si="23"/>
        <v/>
      </c>
      <c r="P208" s="10" t="str">
        <f t="shared" si="24"/>
        <v/>
      </c>
      <c r="Q208" s="10" t="str">
        <f>IF(COUNTIF(Lists!$E$5:$E$9,G208)=0,"PROJECT?","")</f>
        <v/>
      </c>
      <c r="R208" s="10" t="str">
        <f t="shared" si="25"/>
        <v/>
      </c>
      <c r="S208" s="10" t="str">
        <f>IF(AND(I208="Y",N208="",COUNTIF(Billing_Data!$H$5:$H$319,M208)=0),"NOT BILLED","")</f>
        <v/>
      </c>
      <c r="T208" s="14">
        <f t="shared" si="26"/>
        <v>0</v>
      </c>
      <c r="U208" s="15">
        <f t="shared" si="27"/>
        <v>896</v>
      </c>
    </row>
    <row r="209" spans="1:21" x14ac:dyDescent="0.25">
      <c r="A209" s="7" t="s">
        <v>268</v>
      </c>
      <c r="B209" s="7" t="s">
        <v>262</v>
      </c>
      <c r="C209" s="8" t="str">
        <f>IFERROR(INDEX(Lists!$B$5:$B$34,MATCH(B209,Lists!$A$5:$A$34,0)),"")</f>
        <v>Jamie Sterling</v>
      </c>
      <c r="D209" s="8" t="str">
        <f>IFERROR(INDEX(Lists!$C$5:$C$34,MATCH(B209,Lists!$A$5:$A$34,0)),"")</f>
        <v>Field Supervisor</v>
      </c>
      <c r="E209" s="9">
        <v>46287</v>
      </c>
      <c r="F209" s="10" t="str">
        <f t="shared" si="21"/>
        <v>Tue</v>
      </c>
      <c r="G209" s="7" t="s">
        <v>50</v>
      </c>
      <c r="H209" s="8" t="str">
        <f>IFERROR(INDEX(Lists!$F$5:$F$9,MATCH(G209,Lists!$E$5:$E$9,0)),"")</f>
        <v>Cedar Industrial (fictional)</v>
      </c>
      <c r="I209" s="8" t="str">
        <f>IFERROR(INDEX(Lists!$G$5:$G$9,MATCH(G209,Lists!$E$5:$E$9,0)),"")</f>
        <v>Y</v>
      </c>
      <c r="J209" s="11">
        <v>4</v>
      </c>
      <c r="K209" s="12">
        <v>112</v>
      </c>
      <c r="L209" s="13">
        <f>IF(I209&lt;&gt;"Y","",IFERROR(INDEX(Lists!$L$5:$L$20,MATCH(D209&amp;"|"&amp;G209,Lists!$I$5:$I$20,0)),""))</f>
        <v>112</v>
      </c>
      <c r="M209" s="10" t="str">
        <f t="shared" si="22"/>
        <v>E019|20260922|P103</v>
      </c>
      <c r="N209" s="10" t="str">
        <f>IF(COUNTIFS($M$5:M209,M209)&gt;1,"DUPLICATE","")</f>
        <v/>
      </c>
      <c r="O209" s="10" t="str">
        <f t="shared" si="23"/>
        <v/>
      </c>
      <c r="P209" s="10" t="str">
        <f t="shared" si="24"/>
        <v/>
      </c>
      <c r="Q209" s="10" t="str">
        <f>IF(COUNTIF(Lists!$E$5:$E$9,G209)=0,"PROJECT?","")</f>
        <v/>
      </c>
      <c r="R209" s="10" t="str">
        <f t="shared" si="25"/>
        <v/>
      </c>
      <c r="S209" s="10" t="str">
        <f>IF(AND(I209="Y",N209="",COUNTIF(Billing_Data!$H$5:$H$319,M209)=0),"NOT BILLED","")</f>
        <v/>
      </c>
      <c r="T209" s="14">
        <f t="shared" si="26"/>
        <v>0</v>
      </c>
      <c r="U209" s="15">
        <f t="shared" si="27"/>
        <v>448</v>
      </c>
    </row>
    <row r="210" spans="1:21" x14ac:dyDescent="0.25">
      <c r="A210" s="7" t="s">
        <v>269</v>
      </c>
      <c r="B210" s="7" t="s">
        <v>262</v>
      </c>
      <c r="C210" s="8" t="str">
        <f>IFERROR(INDEX(Lists!$B$5:$B$34,MATCH(B210,Lists!$A$5:$A$34,0)),"")</f>
        <v>Jamie Sterling</v>
      </c>
      <c r="D210" s="8" t="str">
        <f>IFERROR(INDEX(Lists!$C$5:$C$34,MATCH(B210,Lists!$A$5:$A$34,0)),"")</f>
        <v>Field Supervisor</v>
      </c>
      <c r="E210" s="9">
        <v>46287</v>
      </c>
      <c r="F210" s="10" t="str">
        <f t="shared" si="21"/>
        <v>Tue</v>
      </c>
      <c r="G210" s="7" t="s">
        <v>41</v>
      </c>
      <c r="H210" s="8" t="str">
        <f>IFERROR(INDEX(Lists!$F$5:$F$9,MATCH(G210,Lists!$E$5:$E$9,0)),"")</f>
        <v>Alder Energy (fictional)</v>
      </c>
      <c r="I210" s="8" t="str">
        <f>IFERROR(INDEX(Lists!$G$5:$G$9,MATCH(G210,Lists!$E$5:$E$9,0)),"")</f>
        <v>Y</v>
      </c>
      <c r="J210" s="11">
        <v>4</v>
      </c>
      <c r="K210" s="12">
        <v>118</v>
      </c>
      <c r="L210" s="13">
        <f>IF(I210&lt;&gt;"Y","",IFERROR(INDEX(Lists!$L$5:$L$20,MATCH(D210&amp;"|"&amp;G210,Lists!$I$5:$I$20,0)),""))</f>
        <v>118</v>
      </c>
      <c r="M210" s="10" t="str">
        <f t="shared" si="22"/>
        <v>E019|20260922|P101</v>
      </c>
      <c r="N210" s="10" t="str">
        <f>IF(COUNTIFS($M$5:M210,M210)&gt;1,"DUPLICATE","")</f>
        <v/>
      </c>
      <c r="O210" s="10" t="str">
        <f t="shared" si="23"/>
        <v/>
      </c>
      <c r="P210" s="10" t="str">
        <f t="shared" si="24"/>
        <v/>
      </c>
      <c r="Q210" s="10" t="str">
        <f>IF(COUNTIF(Lists!$E$5:$E$9,G210)=0,"PROJECT?","")</f>
        <v/>
      </c>
      <c r="R210" s="10" t="str">
        <f t="shared" si="25"/>
        <v/>
      </c>
      <c r="S210" s="10" t="str">
        <f>IF(AND(I210="Y",N210="",COUNTIF(Billing_Data!$H$5:$H$319,M210)=0),"NOT BILLED","")</f>
        <v/>
      </c>
      <c r="T210" s="14">
        <f t="shared" si="26"/>
        <v>0</v>
      </c>
      <c r="U210" s="15">
        <f t="shared" si="27"/>
        <v>472</v>
      </c>
    </row>
    <row r="211" spans="1:21" x14ac:dyDescent="0.25">
      <c r="A211" s="7" t="s">
        <v>270</v>
      </c>
      <c r="B211" s="7" t="s">
        <v>262</v>
      </c>
      <c r="C211" s="8" t="str">
        <f>IFERROR(INDEX(Lists!$B$5:$B$34,MATCH(B211,Lists!$A$5:$A$34,0)),"")</f>
        <v>Jamie Sterling</v>
      </c>
      <c r="D211" s="8" t="str">
        <f>IFERROR(INDEX(Lists!$C$5:$C$34,MATCH(B211,Lists!$A$5:$A$34,0)),"")</f>
        <v>Field Supervisor</v>
      </c>
      <c r="E211" s="9">
        <v>46289</v>
      </c>
      <c r="F211" s="10" t="str">
        <f t="shared" si="21"/>
        <v>Thu</v>
      </c>
      <c r="G211" s="7" t="s">
        <v>50</v>
      </c>
      <c r="H211" s="8" t="str">
        <f>IFERROR(INDEX(Lists!$F$5:$F$9,MATCH(G211,Lists!$E$5:$E$9,0)),"")</f>
        <v>Cedar Industrial (fictional)</v>
      </c>
      <c r="I211" s="8" t="str">
        <f>IFERROR(INDEX(Lists!$G$5:$G$9,MATCH(G211,Lists!$E$5:$E$9,0)),"")</f>
        <v>Y</v>
      </c>
      <c r="J211" s="11">
        <v>8</v>
      </c>
      <c r="K211" s="12">
        <v>112</v>
      </c>
      <c r="L211" s="13">
        <f>IF(I211&lt;&gt;"Y","",IFERROR(INDEX(Lists!$L$5:$L$20,MATCH(D211&amp;"|"&amp;G211,Lists!$I$5:$I$20,0)),""))</f>
        <v>112</v>
      </c>
      <c r="M211" s="10" t="str">
        <f t="shared" si="22"/>
        <v>E019|20260924|P103</v>
      </c>
      <c r="N211" s="10" t="str">
        <f>IF(COUNTIFS($M$5:M211,M211)&gt;1,"DUPLICATE","")</f>
        <v/>
      </c>
      <c r="O211" s="10" t="str">
        <f t="shared" si="23"/>
        <v/>
      </c>
      <c r="P211" s="10" t="str">
        <f t="shared" si="24"/>
        <v/>
      </c>
      <c r="Q211" s="10" t="str">
        <f>IF(COUNTIF(Lists!$E$5:$E$9,G211)=0,"PROJECT?","")</f>
        <v/>
      </c>
      <c r="R211" s="10" t="str">
        <f t="shared" si="25"/>
        <v/>
      </c>
      <c r="S211" s="10" t="str">
        <f>IF(AND(I211="Y",N211="",COUNTIF(Billing_Data!$H$5:$H$319,M211)=0),"NOT BILLED","")</f>
        <v/>
      </c>
      <c r="T211" s="14">
        <f t="shared" si="26"/>
        <v>0</v>
      </c>
      <c r="U211" s="15">
        <f t="shared" si="27"/>
        <v>896</v>
      </c>
    </row>
    <row r="212" spans="1:21" x14ac:dyDescent="0.25">
      <c r="A212" s="7" t="s">
        <v>271</v>
      </c>
      <c r="B212" s="7" t="s">
        <v>262</v>
      </c>
      <c r="C212" s="8" t="str">
        <f>IFERROR(INDEX(Lists!$B$5:$B$34,MATCH(B212,Lists!$A$5:$A$34,0)),"")</f>
        <v>Jamie Sterling</v>
      </c>
      <c r="D212" s="8" t="str">
        <f>IFERROR(INDEX(Lists!$C$5:$C$34,MATCH(B212,Lists!$A$5:$A$34,0)),"")</f>
        <v>Field Supervisor</v>
      </c>
      <c r="E212" s="9">
        <v>46290</v>
      </c>
      <c r="F212" s="10" t="str">
        <f t="shared" si="21"/>
        <v>Fri</v>
      </c>
      <c r="G212" s="7" t="s">
        <v>50</v>
      </c>
      <c r="H212" s="8" t="str">
        <f>IFERROR(INDEX(Lists!$F$5:$F$9,MATCH(G212,Lists!$E$5:$E$9,0)),"")</f>
        <v>Cedar Industrial (fictional)</v>
      </c>
      <c r="I212" s="8" t="str">
        <f>IFERROR(INDEX(Lists!$G$5:$G$9,MATCH(G212,Lists!$E$5:$E$9,0)),"")</f>
        <v>Y</v>
      </c>
      <c r="J212" s="11">
        <v>8</v>
      </c>
      <c r="K212" s="12">
        <v>112</v>
      </c>
      <c r="L212" s="13">
        <f>IF(I212&lt;&gt;"Y","",IFERROR(INDEX(Lists!$L$5:$L$20,MATCH(D212&amp;"|"&amp;G212,Lists!$I$5:$I$20,0)),""))</f>
        <v>112</v>
      </c>
      <c r="M212" s="10" t="str">
        <f t="shared" si="22"/>
        <v>E019|20260925|P103</v>
      </c>
      <c r="N212" s="10" t="str">
        <f>IF(COUNTIFS($M$5:M212,M212)&gt;1,"DUPLICATE","")</f>
        <v/>
      </c>
      <c r="O212" s="10" t="str">
        <f t="shared" si="23"/>
        <v/>
      </c>
      <c r="P212" s="10" t="str">
        <f t="shared" si="24"/>
        <v/>
      </c>
      <c r="Q212" s="10" t="str">
        <f>IF(COUNTIF(Lists!$E$5:$E$9,G212)=0,"PROJECT?","")</f>
        <v/>
      </c>
      <c r="R212" s="10" t="str">
        <f t="shared" si="25"/>
        <v/>
      </c>
      <c r="S212" s="10" t="str">
        <f>IF(AND(I212="Y",N212="",COUNTIF(Billing_Data!$H$5:$H$319,M212)=0),"NOT BILLED","")</f>
        <v/>
      </c>
      <c r="T212" s="14">
        <f t="shared" si="26"/>
        <v>0</v>
      </c>
      <c r="U212" s="15">
        <f t="shared" si="27"/>
        <v>896</v>
      </c>
    </row>
    <row r="213" spans="1:21" x14ac:dyDescent="0.25">
      <c r="A213" s="7" t="s">
        <v>272</v>
      </c>
      <c r="B213" s="7" t="s">
        <v>273</v>
      </c>
      <c r="C213" s="8" t="str">
        <f>IFERROR(INDEX(Lists!$B$5:$B$34,MATCH(B213,Lists!$A$5:$A$34,0)),"")</f>
        <v>Cameron Thorne</v>
      </c>
      <c r="D213" s="8" t="str">
        <f>IFERROR(INDEX(Lists!$C$5:$C$34,MATCH(B213,Lists!$A$5:$A$34,0)),"")</f>
        <v>Field Supervisor</v>
      </c>
      <c r="E213" s="9">
        <v>46279</v>
      </c>
      <c r="F213" s="10" t="str">
        <f t="shared" si="21"/>
        <v>Mon</v>
      </c>
      <c r="G213" s="7" t="s">
        <v>74</v>
      </c>
      <c r="H213" s="8" t="str">
        <f>IFERROR(INDEX(Lists!$F$5:$F$9,MATCH(G213,Lists!$E$5:$E$9,0)),"")</f>
        <v>Delta Environmental (fictional)</v>
      </c>
      <c r="I213" s="8" t="str">
        <f>IFERROR(INDEX(Lists!$G$5:$G$9,MATCH(G213,Lists!$E$5:$E$9,0)),"")</f>
        <v>Y</v>
      </c>
      <c r="J213" s="11">
        <v>8</v>
      </c>
      <c r="K213" s="12">
        <v>130</v>
      </c>
      <c r="L213" s="13">
        <f>IF(I213&lt;&gt;"Y","",IFERROR(INDEX(Lists!$L$5:$L$20,MATCH(D213&amp;"|"&amp;G213,Lists!$I$5:$I$20,0)),""))</f>
        <v>130</v>
      </c>
      <c r="M213" s="10" t="str">
        <f t="shared" si="22"/>
        <v>E020|20260914|P104</v>
      </c>
      <c r="N213" s="10" t="str">
        <f>IF(COUNTIFS($M$5:M213,M213)&gt;1,"DUPLICATE","")</f>
        <v/>
      </c>
      <c r="O213" s="10" t="str">
        <f t="shared" si="23"/>
        <v/>
      </c>
      <c r="P213" s="10" t="str">
        <f t="shared" si="24"/>
        <v/>
      </c>
      <c r="Q213" s="10" t="str">
        <f>IF(COUNTIF(Lists!$E$5:$E$9,G213)=0,"PROJECT?","")</f>
        <v/>
      </c>
      <c r="R213" s="10" t="str">
        <f t="shared" si="25"/>
        <v/>
      </c>
      <c r="S213" s="10" t="str">
        <f>IF(AND(I213="Y",N213="",COUNTIF(Billing_Data!$H$5:$H$319,M213)=0),"NOT BILLED","")</f>
        <v/>
      </c>
      <c r="T213" s="14">
        <f t="shared" si="26"/>
        <v>0</v>
      </c>
      <c r="U213" s="15">
        <f t="shared" si="27"/>
        <v>1040</v>
      </c>
    </row>
    <row r="214" spans="1:21" x14ac:dyDescent="0.25">
      <c r="A214" s="7" t="s">
        <v>274</v>
      </c>
      <c r="B214" s="7" t="s">
        <v>273</v>
      </c>
      <c r="C214" s="8" t="str">
        <f>IFERROR(INDEX(Lists!$B$5:$B$34,MATCH(B214,Lists!$A$5:$A$34,0)),"")</f>
        <v>Cameron Thorne</v>
      </c>
      <c r="D214" s="8" t="str">
        <f>IFERROR(INDEX(Lists!$C$5:$C$34,MATCH(B214,Lists!$A$5:$A$34,0)),"")</f>
        <v>Field Supervisor</v>
      </c>
      <c r="E214" s="9">
        <v>46280</v>
      </c>
      <c r="F214" s="10" t="str">
        <f t="shared" si="21"/>
        <v>Tue</v>
      </c>
      <c r="G214" s="7" t="s">
        <v>74</v>
      </c>
      <c r="H214" s="8" t="str">
        <f>IFERROR(INDEX(Lists!$F$5:$F$9,MATCH(G214,Lists!$E$5:$E$9,0)),"")</f>
        <v>Delta Environmental (fictional)</v>
      </c>
      <c r="I214" s="8" t="str">
        <f>IFERROR(INDEX(Lists!$G$5:$G$9,MATCH(G214,Lists!$E$5:$E$9,0)),"")</f>
        <v>Y</v>
      </c>
      <c r="J214" s="11">
        <v>8</v>
      </c>
      <c r="K214" s="12">
        <v>130</v>
      </c>
      <c r="L214" s="13">
        <f>IF(I214&lt;&gt;"Y","",IFERROR(INDEX(Lists!$L$5:$L$20,MATCH(D214&amp;"|"&amp;G214,Lists!$I$5:$I$20,0)),""))</f>
        <v>130</v>
      </c>
      <c r="M214" s="10" t="str">
        <f t="shared" si="22"/>
        <v>E020|20260915|P104</v>
      </c>
      <c r="N214" s="10" t="str">
        <f>IF(COUNTIFS($M$5:M214,M214)&gt;1,"DUPLICATE","")</f>
        <v/>
      </c>
      <c r="O214" s="10" t="str">
        <f t="shared" si="23"/>
        <v/>
      </c>
      <c r="P214" s="10" t="str">
        <f t="shared" si="24"/>
        <v/>
      </c>
      <c r="Q214" s="10" t="str">
        <f>IF(COUNTIF(Lists!$E$5:$E$9,G214)=0,"PROJECT?","")</f>
        <v/>
      </c>
      <c r="R214" s="10" t="str">
        <f t="shared" si="25"/>
        <v/>
      </c>
      <c r="S214" s="10" t="str">
        <f>IF(AND(I214="Y",N214="",COUNTIF(Billing_Data!$H$5:$H$319,M214)=0),"NOT BILLED","")</f>
        <v/>
      </c>
      <c r="T214" s="14">
        <f t="shared" si="26"/>
        <v>0</v>
      </c>
      <c r="U214" s="15">
        <f t="shared" si="27"/>
        <v>1040</v>
      </c>
    </row>
    <row r="215" spans="1:21" x14ac:dyDescent="0.25">
      <c r="A215" s="7" t="s">
        <v>275</v>
      </c>
      <c r="B215" s="7" t="s">
        <v>273</v>
      </c>
      <c r="C215" s="8" t="str">
        <f>IFERROR(INDEX(Lists!$B$5:$B$34,MATCH(B215,Lists!$A$5:$A$34,0)),"")</f>
        <v>Cameron Thorne</v>
      </c>
      <c r="D215" s="8" t="str">
        <f>IFERROR(INDEX(Lists!$C$5:$C$34,MATCH(B215,Lists!$A$5:$A$34,0)),"")</f>
        <v>Field Supervisor</v>
      </c>
      <c r="E215" s="9">
        <v>46281</v>
      </c>
      <c r="F215" s="10" t="str">
        <f t="shared" si="21"/>
        <v>Wed</v>
      </c>
      <c r="G215" s="7" t="s">
        <v>74</v>
      </c>
      <c r="H215" s="8" t="str">
        <f>IFERROR(INDEX(Lists!$F$5:$F$9,MATCH(G215,Lists!$E$5:$E$9,0)),"")</f>
        <v>Delta Environmental (fictional)</v>
      </c>
      <c r="I215" s="8" t="str">
        <f>IFERROR(INDEX(Lists!$G$5:$G$9,MATCH(G215,Lists!$E$5:$E$9,0)),"")</f>
        <v>Y</v>
      </c>
      <c r="J215" s="11">
        <v>8</v>
      </c>
      <c r="K215" s="12">
        <v>130</v>
      </c>
      <c r="L215" s="13">
        <f>IF(I215&lt;&gt;"Y","",IFERROR(INDEX(Lists!$L$5:$L$20,MATCH(D215&amp;"|"&amp;G215,Lists!$I$5:$I$20,0)),""))</f>
        <v>130</v>
      </c>
      <c r="M215" s="10" t="str">
        <f t="shared" si="22"/>
        <v>E020|20260916|P104</v>
      </c>
      <c r="N215" s="10" t="str">
        <f>IF(COUNTIFS($M$5:M215,M215)&gt;1,"DUPLICATE","")</f>
        <v/>
      </c>
      <c r="O215" s="10" t="str">
        <f t="shared" si="23"/>
        <v/>
      </c>
      <c r="P215" s="10" t="str">
        <f t="shared" si="24"/>
        <v/>
      </c>
      <c r="Q215" s="10" t="str">
        <f>IF(COUNTIF(Lists!$E$5:$E$9,G215)=0,"PROJECT?","")</f>
        <v/>
      </c>
      <c r="R215" s="10" t="str">
        <f t="shared" si="25"/>
        <v/>
      </c>
      <c r="S215" s="10" t="str">
        <f>IF(AND(I215="Y",N215="",COUNTIF(Billing_Data!$H$5:$H$319,M215)=0),"NOT BILLED","")</f>
        <v/>
      </c>
      <c r="T215" s="14">
        <f t="shared" si="26"/>
        <v>0</v>
      </c>
      <c r="U215" s="15">
        <f t="shared" si="27"/>
        <v>1040</v>
      </c>
    </row>
    <row r="216" spans="1:21" x14ac:dyDescent="0.25">
      <c r="A216" s="7" t="s">
        <v>276</v>
      </c>
      <c r="B216" s="7" t="s">
        <v>273</v>
      </c>
      <c r="C216" s="8" t="str">
        <f>IFERROR(INDEX(Lists!$B$5:$B$34,MATCH(B216,Lists!$A$5:$A$34,0)),"")</f>
        <v>Cameron Thorne</v>
      </c>
      <c r="D216" s="8" t="str">
        <f>IFERROR(INDEX(Lists!$C$5:$C$34,MATCH(B216,Lists!$A$5:$A$34,0)),"")</f>
        <v>Field Supervisor</v>
      </c>
      <c r="E216" s="9">
        <v>46282</v>
      </c>
      <c r="F216" s="10" t="str">
        <f t="shared" si="21"/>
        <v>Thu</v>
      </c>
      <c r="G216" s="7" t="s">
        <v>74</v>
      </c>
      <c r="H216" s="8" t="str">
        <f>IFERROR(INDEX(Lists!$F$5:$F$9,MATCH(G216,Lists!$E$5:$E$9,0)),"")</f>
        <v>Delta Environmental (fictional)</v>
      </c>
      <c r="I216" s="8" t="str">
        <f>IFERROR(INDEX(Lists!$G$5:$G$9,MATCH(G216,Lists!$E$5:$E$9,0)),"")</f>
        <v>Y</v>
      </c>
      <c r="J216" s="11">
        <v>8</v>
      </c>
      <c r="K216" s="12">
        <v>130</v>
      </c>
      <c r="L216" s="13">
        <f>IF(I216&lt;&gt;"Y","",IFERROR(INDEX(Lists!$L$5:$L$20,MATCH(D216&amp;"|"&amp;G216,Lists!$I$5:$I$20,0)),""))</f>
        <v>130</v>
      </c>
      <c r="M216" s="10" t="str">
        <f t="shared" si="22"/>
        <v>E020|20260917|P104</v>
      </c>
      <c r="N216" s="10" t="str">
        <f>IF(COUNTIFS($M$5:M216,M216)&gt;1,"DUPLICATE","")</f>
        <v/>
      </c>
      <c r="O216" s="10" t="str">
        <f t="shared" si="23"/>
        <v/>
      </c>
      <c r="P216" s="10" t="str">
        <f t="shared" si="24"/>
        <v/>
      </c>
      <c r="Q216" s="10" t="str">
        <f>IF(COUNTIF(Lists!$E$5:$E$9,G216)=0,"PROJECT?","")</f>
        <v/>
      </c>
      <c r="R216" s="10" t="str">
        <f t="shared" si="25"/>
        <v/>
      </c>
      <c r="S216" s="10" t="str">
        <f>IF(AND(I216="Y",N216="",COUNTIF(Billing_Data!$H$5:$H$319,M216)=0),"NOT BILLED","")</f>
        <v/>
      </c>
      <c r="T216" s="14">
        <f t="shared" si="26"/>
        <v>0</v>
      </c>
      <c r="U216" s="15">
        <f t="shared" si="27"/>
        <v>1040</v>
      </c>
    </row>
    <row r="217" spans="1:21" x14ac:dyDescent="0.25">
      <c r="A217" s="7" t="s">
        <v>277</v>
      </c>
      <c r="B217" s="7" t="s">
        <v>273</v>
      </c>
      <c r="C217" s="8" t="str">
        <f>IFERROR(INDEX(Lists!$B$5:$B$34,MATCH(B217,Lists!$A$5:$A$34,0)),"")</f>
        <v>Cameron Thorne</v>
      </c>
      <c r="D217" s="8" t="str">
        <f>IFERROR(INDEX(Lists!$C$5:$C$34,MATCH(B217,Lists!$A$5:$A$34,0)),"")</f>
        <v>Field Supervisor</v>
      </c>
      <c r="E217" s="9">
        <v>46283</v>
      </c>
      <c r="F217" s="10" t="str">
        <f t="shared" si="21"/>
        <v>Fri</v>
      </c>
      <c r="G217" s="7" t="s">
        <v>74</v>
      </c>
      <c r="H217" s="8" t="str">
        <f>IFERROR(INDEX(Lists!$F$5:$F$9,MATCH(G217,Lists!$E$5:$E$9,0)),"")</f>
        <v>Delta Environmental (fictional)</v>
      </c>
      <c r="I217" s="8" t="str">
        <f>IFERROR(INDEX(Lists!$G$5:$G$9,MATCH(G217,Lists!$E$5:$E$9,0)),"")</f>
        <v>Y</v>
      </c>
      <c r="J217" s="11">
        <v>8</v>
      </c>
      <c r="K217" s="12">
        <v>130</v>
      </c>
      <c r="L217" s="13">
        <f>IF(I217&lt;&gt;"Y","",IFERROR(INDEX(Lists!$L$5:$L$20,MATCH(D217&amp;"|"&amp;G217,Lists!$I$5:$I$20,0)),""))</f>
        <v>130</v>
      </c>
      <c r="M217" s="10" t="str">
        <f t="shared" si="22"/>
        <v>E020|20260918|P104</v>
      </c>
      <c r="N217" s="10" t="str">
        <f>IF(COUNTIFS($M$5:M217,M217)&gt;1,"DUPLICATE","")</f>
        <v/>
      </c>
      <c r="O217" s="10" t="str">
        <f t="shared" si="23"/>
        <v/>
      </c>
      <c r="P217" s="10" t="str">
        <f t="shared" si="24"/>
        <v/>
      </c>
      <c r="Q217" s="10" t="str">
        <f>IF(COUNTIF(Lists!$E$5:$E$9,G217)=0,"PROJECT?","")</f>
        <v/>
      </c>
      <c r="R217" s="10" t="str">
        <f t="shared" si="25"/>
        <v/>
      </c>
      <c r="S217" s="10" t="str">
        <f>IF(AND(I217="Y",N217="",COUNTIF(Billing_Data!$H$5:$H$319,M217)=0),"NOT BILLED","")</f>
        <v/>
      </c>
      <c r="T217" s="14">
        <f t="shared" si="26"/>
        <v>0</v>
      </c>
      <c r="U217" s="15">
        <f t="shared" si="27"/>
        <v>1040</v>
      </c>
    </row>
    <row r="218" spans="1:21" x14ac:dyDescent="0.25">
      <c r="A218" s="7" t="s">
        <v>278</v>
      </c>
      <c r="B218" s="7" t="s">
        <v>273</v>
      </c>
      <c r="C218" s="8" t="str">
        <f>IFERROR(INDEX(Lists!$B$5:$B$34,MATCH(B218,Lists!$A$5:$A$34,0)),"")</f>
        <v>Cameron Thorne</v>
      </c>
      <c r="D218" s="8" t="str">
        <f>IFERROR(INDEX(Lists!$C$5:$C$34,MATCH(B218,Lists!$A$5:$A$34,0)),"")</f>
        <v>Field Supervisor</v>
      </c>
      <c r="E218" s="9">
        <v>46286</v>
      </c>
      <c r="F218" s="10" t="str">
        <f t="shared" si="21"/>
        <v>Mon</v>
      </c>
      <c r="G218" s="7" t="s">
        <v>74</v>
      </c>
      <c r="H218" s="8" t="str">
        <f>IFERROR(INDEX(Lists!$F$5:$F$9,MATCH(G218,Lists!$E$5:$E$9,0)),"")</f>
        <v>Delta Environmental (fictional)</v>
      </c>
      <c r="I218" s="8" t="str">
        <f>IFERROR(INDEX(Lists!$G$5:$G$9,MATCH(G218,Lists!$E$5:$E$9,0)),"")</f>
        <v>Y</v>
      </c>
      <c r="J218" s="11">
        <v>8</v>
      </c>
      <c r="K218" s="12">
        <v>130</v>
      </c>
      <c r="L218" s="13">
        <f>IF(I218&lt;&gt;"Y","",IFERROR(INDEX(Lists!$L$5:$L$20,MATCH(D218&amp;"|"&amp;G218,Lists!$I$5:$I$20,0)),""))</f>
        <v>130</v>
      </c>
      <c r="M218" s="10" t="str">
        <f t="shared" si="22"/>
        <v>E020|20260921|P104</v>
      </c>
      <c r="N218" s="10" t="str">
        <f>IF(COUNTIFS($M$5:M218,M218)&gt;1,"DUPLICATE","")</f>
        <v/>
      </c>
      <c r="O218" s="10" t="str">
        <f t="shared" si="23"/>
        <v/>
      </c>
      <c r="P218" s="10" t="str">
        <f t="shared" si="24"/>
        <v/>
      </c>
      <c r="Q218" s="10" t="str">
        <f>IF(COUNTIF(Lists!$E$5:$E$9,G218)=0,"PROJECT?","")</f>
        <v/>
      </c>
      <c r="R218" s="10" t="str">
        <f t="shared" si="25"/>
        <v/>
      </c>
      <c r="S218" s="10" t="str">
        <f>IF(AND(I218="Y",N218="",COUNTIF(Billing_Data!$H$5:$H$319,M218)=0),"NOT BILLED","")</f>
        <v/>
      </c>
      <c r="T218" s="14">
        <f t="shared" si="26"/>
        <v>0</v>
      </c>
      <c r="U218" s="15">
        <f t="shared" si="27"/>
        <v>1040</v>
      </c>
    </row>
    <row r="219" spans="1:21" x14ac:dyDescent="0.25">
      <c r="A219" s="7" t="s">
        <v>279</v>
      </c>
      <c r="B219" s="7" t="s">
        <v>273</v>
      </c>
      <c r="C219" s="8" t="str">
        <f>IFERROR(INDEX(Lists!$B$5:$B$34,MATCH(B219,Lists!$A$5:$A$34,0)),"")</f>
        <v>Cameron Thorne</v>
      </c>
      <c r="D219" s="8" t="str">
        <f>IFERROR(INDEX(Lists!$C$5:$C$34,MATCH(B219,Lists!$A$5:$A$34,0)),"")</f>
        <v>Field Supervisor</v>
      </c>
      <c r="E219" s="9">
        <v>46287</v>
      </c>
      <c r="F219" s="10" t="str">
        <f t="shared" si="21"/>
        <v>Tue</v>
      </c>
      <c r="G219" s="7" t="s">
        <v>74</v>
      </c>
      <c r="H219" s="8" t="str">
        <f>IFERROR(INDEX(Lists!$F$5:$F$9,MATCH(G219,Lists!$E$5:$E$9,0)),"")</f>
        <v>Delta Environmental (fictional)</v>
      </c>
      <c r="I219" s="8" t="str">
        <f>IFERROR(INDEX(Lists!$G$5:$G$9,MATCH(G219,Lists!$E$5:$E$9,0)),"")</f>
        <v>Y</v>
      </c>
      <c r="J219" s="11">
        <v>8</v>
      </c>
      <c r="K219" s="12">
        <v>130</v>
      </c>
      <c r="L219" s="13">
        <f>IF(I219&lt;&gt;"Y","",IFERROR(INDEX(Lists!$L$5:$L$20,MATCH(D219&amp;"|"&amp;G219,Lists!$I$5:$I$20,0)),""))</f>
        <v>130</v>
      </c>
      <c r="M219" s="10" t="str">
        <f t="shared" si="22"/>
        <v>E020|20260922|P104</v>
      </c>
      <c r="N219" s="10" t="str">
        <f>IF(COUNTIFS($M$5:M219,M219)&gt;1,"DUPLICATE","")</f>
        <v/>
      </c>
      <c r="O219" s="10" t="str">
        <f t="shared" si="23"/>
        <v/>
      </c>
      <c r="P219" s="10" t="str">
        <f t="shared" si="24"/>
        <v/>
      </c>
      <c r="Q219" s="10" t="str">
        <f>IF(COUNTIF(Lists!$E$5:$E$9,G219)=0,"PROJECT?","")</f>
        <v/>
      </c>
      <c r="R219" s="10" t="str">
        <f t="shared" si="25"/>
        <v/>
      </c>
      <c r="S219" s="10" t="str">
        <f>IF(AND(I219="Y",N219="",COUNTIF(Billing_Data!$H$5:$H$319,M219)=0),"NOT BILLED","")</f>
        <v/>
      </c>
      <c r="T219" s="14">
        <f t="shared" si="26"/>
        <v>0</v>
      </c>
      <c r="U219" s="15">
        <f t="shared" si="27"/>
        <v>1040</v>
      </c>
    </row>
    <row r="220" spans="1:21" x14ac:dyDescent="0.25">
      <c r="A220" s="7" t="s">
        <v>280</v>
      </c>
      <c r="B220" s="7" t="s">
        <v>273</v>
      </c>
      <c r="C220" s="8" t="str">
        <f>IFERROR(INDEX(Lists!$B$5:$B$34,MATCH(B220,Lists!$A$5:$A$34,0)),"")</f>
        <v>Cameron Thorne</v>
      </c>
      <c r="D220" s="8" t="str">
        <f>IFERROR(INDEX(Lists!$C$5:$C$34,MATCH(B220,Lists!$A$5:$A$34,0)),"")</f>
        <v>Field Supervisor</v>
      </c>
      <c r="E220" s="9">
        <v>46288</v>
      </c>
      <c r="F220" s="10" t="str">
        <f t="shared" si="21"/>
        <v>Wed</v>
      </c>
      <c r="G220" s="7" t="s">
        <v>74</v>
      </c>
      <c r="H220" s="8" t="str">
        <f>IFERROR(INDEX(Lists!$F$5:$F$9,MATCH(G220,Lists!$E$5:$E$9,0)),"")</f>
        <v>Delta Environmental (fictional)</v>
      </c>
      <c r="I220" s="8" t="str">
        <f>IFERROR(INDEX(Lists!$G$5:$G$9,MATCH(G220,Lists!$E$5:$E$9,0)),"")</f>
        <v>Y</v>
      </c>
      <c r="J220" s="11">
        <v>8</v>
      </c>
      <c r="K220" s="12">
        <v>130</v>
      </c>
      <c r="L220" s="13">
        <f>IF(I220&lt;&gt;"Y","",IFERROR(INDEX(Lists!$L$5:$L$20,MATCH(D220&amp;"|"&amp;G220,Lists!$I$5:$I$20,0)),""))</f>
        <v>130</v>
      </c>
      <c r="M220" s="10" t="str">
        <f t="shared" si="22"/>
        <v>E020|20260923|P104</v>
      </c>
      <c r="N220" s="10" t="str">
        <f>IF(COUNTIFS($M$5:M220,M220)&gt;1,"DUPLICATE","")</f>
        <v/>
      </c>
      <c r="O220" s="10" t="str">
        <f t="shared" si="23"/>
        <v/>
      </c>
      <c r="P220" s="10" t="str">
        <f t="shared" si="24"/>
        <v/>
      </c>
      <c r="Q220" s="10" t="str">
        <f>IF(COUNTIF(Lists!$E$5:$E$9,G220)=0,"PROJECT?","")</f>
        <v/>
      </c>
      <c r="R220" s="10" t="str">
        <f t="shared" si="25"/>
        <v/>
      </c>
      <c r="S220" s="10" t="str">
        <f>IF(AND(I220="Y",N220="",COUNTIF(Billing_Data!$H$5:$H$319,M220)=0),"NOT BILLED","")</f>
        <v/>
      </c>
      <c r="T220" s="14">
        <f t="shared" si="26"/>
        <v>0</v>
      </c>
      <c r="U220" s="15">
        <f t="shared" si="27"/>
        <v>1040</v>
      </c>
    </row>
    <row r="221" spans="1:21" x14ac:dyDescent="0.25">
      <c r="A221" s="7" t="s">
        <v>281</v>
      </c>
      <c r="B221" s="7" t="s">
        <v>273</v>
      </c>
      <c r="C221" s="8" t="str">
        <f>IFERROR(INDEX(Lists!$B$5:$B$34,MATCH(B221,Lists!$A$5:$A$34,0)),"")</f>
        <v>Cameron Thorne</v>
      </c>
      <c r="D221" s="8" t="str">
        <f>IFERROR(INDEX(Lists!$C$5:$C$34,MATCH(B221,Lists!$A$5:$A$34,0)),"")</f>
        <v>Field Supervisor</v>
      </c>
      <c r="E221" s="9">
        <v>46289</v>
      </c>
      <c r="F221" s="10" t="str">
        <f t="shared" si="21"/>
        <v>Thu</v>
      </c>
      <c r="G221" s="7" t="s">
        <v>74</v>
      </c>
      <c r="H221" s="8" t="str">
        <f>IFERROR(INDEX(Lists!$F$5:$F$9,MATCH(G221,Lists!$E$5:$E$9,0)),"")</f>
        <v>Delta Environmental (fictional)</v>
      </c>
      <c r="I221" s="8" t="str">
        <f>IFERROR(INDEX(Lists!$G$5:$G$9,MATCH(G221,Lists!$E$5:$E$9,0)),"")</f>
        <v>Y</v>
      </c>
      <c r="J221" s="11">
        <v>8</v>
      </c>
      <c r="K221" s="12">
        <v>130</v>
      </c>
      <c r="L221" s="13">
        <f>IF(I221&lt;&gt;"Y","",IFERROR(INDEX(Lists!$L$5:$L$20,MATCH(D221&amp;"|"&amp;G221,Lists!$I$5:$I$20,0)),""))</f>
        <v>130</v>
      </c>
      <c r="M221" s="10" t="str">
        <f t="shared" si="22"/>
        <v>E020|20260924|P104</v>
      </c>
      <c r="N221" s="10" t="str">
        <f>IF(COUNTIFS($M$5:M221,M221)&gt;1,"DUPLICATE","")</f>
        <v/>
      </c>
      <c r="O221" s="10" t="str">
        <f t="shared" si="23"/>
        <v/>
      </c>
      <c r="P221" s="10" t="str">
        <f t="shared" si="24"/>
        <v/>
      </c>
      <c r="Q221" s="10" t="str">
        <f>IF(COUNTIF(Lists!$E$5:$E$9,G221)=0,"PROJECT?","")</f>
        <v/>
      </c>
      <c r="R221" s="10" t="str">
        <f t="shared" si="25"/>
        <v/>
      </c>
      <c r="S221" s="10" t="str">
        <f>IF(AND(I221="Y",N221="",COUNTIF(Billing_Data!$H$5:$H$319,M221)=0),"NOT BILLED","")</f>
        <v/>
      </c>
      <c r="T221" s="14">
        <f t="shared" si="26"/>
        <v>0</v>
      </c>
      <c r="U221" s="15">
        <f t="shared" si="27"/>
        <v>1040</v>
      </c>
    </row>
    <row r="222" spans="1:21" x14ac:dyDescent="0.25">
      <c r="A222" s="7" t="s">
        <v>282</v>
      </c>
      <c r="B222" s="7" t="s">
        <v>273</v>
      </c>
      <c r="C222" s="8" t="str">
        <f>IFERROR(INDEX(Lists!$B$5:$B$34,MATCH(B222,Lists!$A$5:$A$34,0)),"")</f>
        <v>Cameron Thorne</v>
      </c>
      <c r="D222" s="8" t="str">
        <f>IFERROR(INDEX(Lists!$C$5:$C$34,MATCH(B222,Lists!$A$5:$A$34,0)),"")</f>
        <v>Field Supervisor</v>
      </c>
      <c r="E222" s="9">
        <v>46290</v>
      </c>
      <c r="F222" s="10" t="str">
        <f t="shared" si="21"/>
        <v>Fri</v>
      </c>
      <c r="G222" s="7" t="s">
        <v>74</v>
      </c>
      <c r="H222" s="8" t="str">
        <f>IFERROR(INDEX(Lists!$F$5:$F$9,MATCH(G222,Lists!$E$5:$E$9,0)),"")</f>
        <v>Delta Environmental (fictional)</v>
      </c>
      <c r="I222" s="8" t="str">
        <f>IFERROR(INDEX(Lists!$G$5:$G$9,MATCH(G222,Lists!$E$5:$E$9,0)),"")</f>
        <v>Y</v>
      </c>
      <c r="J222" s="11">
        <v>8</v>
      </c>
      <c r="K222" s="12">
        <v>130</v>
      </c>
      <c r="L222" s="13">
        <f>IF(I222&lt;&gt;"Y","",IFERROR(INDEX(Lists!$L$5:$L$20,MATCH(D222&amp;"|"&amp;G222,Lists!$I$5:$I$20,0)),""))</f>
        <v>130</v>
      </c>
      <c r="M222" s="10" t="str">
        <f t="shared" si="22"/>
        <v>E020|20260925|P104</v>
      </c>
      <c r="N222" s="10" t="str">
        <f>IF(COUNTIFS($M$5:M222,M222)&gt;1,"DUPLICATE","")</f>
        <v/>
      </c>
      <c r="O222" s="10" t="str">
        <f t="shared" si="23"/>
        <v/>
      </c>
      <c r="P222" s="10" t="str">
        <f t="shared" si="24"/>
        <v/>
      </c>
      <c r="Q222" s="10" t="str">
        <f>IF(COUNTIF(Lists!$E$5:$E$9,G222)=0,"PROJECT?","")</f>
        <v/>
      </c>
      <c r="R222" s="10" t="str">
        <f t="shared" si="25"/>
        <v/>
      </c>
      <c r="S222" s="10" t="str">
        <f>IF(AND(I222="Y",N222="",COUNTIF(Billing_Data!$H$5:$H$319,M222)=0),"NOT BILLED","")</f>
        <v/>
      </c>
      <c r="T222" s="14">
        <f t="shared" si="26"/>
        <v>0</v>
      </c>
      <c r="U222" s="15">
        <f t="shared" si="27"/>
        <v>1040</v>
      </c>
    </row>
    <row r="223" spans="1:21" x14ac:dyDescent="0.25">
      <c r="A223" s="7" t="s">
        <v>283</v>
      </c>
      <c r="B223" s="7" t="s">
        <v>284</v>
      </c>
      <c r="C223" s="8" t="str">
        <f>IFERROR(INDEX(Lists!$B$5:$B$34,MATCH(B223,Lists!$A$5:$A$34,0)),"")</f>
        <v>Blake Underhill</v>
      </c>
      <c r="D223" s="8" t="str">
        <f>IFERROR(INDEX(Lists!$C$5:$C$34,MATCH(B223,Lists!$A$5:$A$34,0)),"")</f>
        <v>Field Supervisor</v>
      </c>
      <c r="E223" s="9">
        <v>46279</v>
      </c>
      <c r="F223" s="10" t="str">
        <f t="shared" si="21"/>
        <v>Mon</v>
      </c>
      <c r="G223" s="7" t="s">
        <v>41</v>
      </c>
      <c r="H223" s="8" t="str">
        <f>IFERROR(INDEX(Lists!$F$5:$F$9,MATCH(G223,Lists!$E$5:$E$9,0)),"")</f>
        <v>Alder Energy (fictional)</v>
      </c>
      <c r="I223" s="8" t="str">
        <f>IFERROR(INDEX(Lists!$G$5:$G$9,MATCH(G223,Lists!$E$5:$E$9,0)),"")</f>
        <v>Y</v>
      </c>
      <c r="J223" s="11">
        <v>8</v>
      </c>
      <c r="K223" s="12">
        <v>118</v>
      </c>
      <c r="L223" s="13">
        <f>IF(I223&lt;&gt;"Y","",IFERROR(INDEX(Lists!$L$5:$L$20,MATCH(D223&amp;"|"&amp;G223,Lists!$I$5:$I$20,0)),""))</f>
        <v>118</v>
      </c>
      <c r="M223" s="10" t="str">
        <f t="shared" si="22"/>
        <v>E021|20260914|P101</v>
      </c>
      <c r="N223" s="10" t="str">
        <f>IF(COUNTIFS($M$5:M223,M223)&gt;1,"DUPLICATE","")</f>
        <v/>
      </c>
      <c r="O223" s="10" t="str">
        <f t="shared" si="23"/>
        <v/>
      </c>
      <c r="P223" s="10" t="str">
        <f t="shared" si="24"/>
        <v/>
      </c>
      <c r="Q223" s="10" t="str">
        <f>IF(COUNTIF(Lists!$E$5:$E$9,G223)=0,"PROJECT?","")</f>
        <v/>
      </c>
      <c r="R223" s="10" t="str">
        <f t="shared" si="25"/>
        <v/>
      </c>
      <c r="S223" s="10" t="str">
        <f>IF(AND(I223="Y",N223="",COUNTIF(Billing_Data!$H$5:$H$319,M223)=0),"NOT BILLED","")</f>
        <v/>
      </c>
      <c r="T223" s="14">
        <f t="shared" si="26"/>
        <v>0</v>
      </c>
      <c r="U223" s="15">
        <f t="shared" si="27"/>
        <v>944</v>
      </c>
    </row>
    <row r="224" spans="1:21" x14ac:dyDescent="0.25">
      <c r="A224" s="7" t="s">
        <v>285</v>
      </c>
      <c r="B224" s="7" t="s">
        <v>284</v>
      </c>
      <c r="C224" s="8" t="str">
        <f>IFERROR(INDEX(Lists!$B$5:$B$34,MATCH(B224,Lists!$A$5:$A$34,0)),"")</f>
        <v>Blake Underhill</v>
      </c>
      <c r="D224" s="8" t="str">
        <f>IFERROR(INDEX(Lists!$C$5:$C$34,MATCH(B224,Lists!$A$5:$A$34,0)),"")</f>
        <v>Field Supervisor</v>
      </c>
      <c r="E224" s="9">
        <v>46280</v>
      </c>
      <c r="F224" s="10" t="str">
        <f t="shared" si="21"/>
        <v>Tue</v>
      </c>
      <c r="G224" s="7" t="s">
        <v>41</v>
      </c>
      <c r="H224" s="8" t="str">
        <f>IFERROR(INDEX(Lists!$F$5:$F$9,MATCH(G224,Lists!$E$5:$E$9,0)),"")</f>
        <v>Alder Energy (fictional)</v>
      </c>
      <c r="I224" s="8" t="str">
        <f>IFERROR(INDEX(Lists!$G$5:$G$9,MATCH(G224,Lists!$E$5:$E$9,0)),"")</f>
        <v>Y</v>
      </c>
      <c r="J224" s="11">
        <v>8</v>
      </c>
      <c r="K224" s="12">
        <v>118</v>
      </c>
      <c r="L224" s="13">
        <f>IF(I224&lt;&gt;"Y","",IFERROR(INDEX(Lists!$L$5:$L$20,MATCH(D224&amp;"|"&amp;G224,Lists!$I$5:$I$20,0)),""))</f>
        <v>118</v>
      </c>
      <c r="M224" s="10" t="str">
        <f t="shared" si="22"/>
        <v>E021|20260915|P101</v>
      </c>
      <c r="N224" s="10" t="str">
        <f>IF(COUNTIFS($M$5:M224,M224)&gt;1,"DUPLICATE","")</f>
        <v/>
      </c>
      <c r="O224" s="10" t="str">
        <f t="shared" si="23"/>
        <v/>
      </c>
      <c r="P224" s="10" t="str">
        <f t="shared" si="24"/>
        <v/>
      </c>
      <c r="Q224" s="10" t="str">
        <f>IF(COUNTIF(Lists!$E$5:$E$9,G224)=0,"PROJECT?","")</f>
        <v/>
      </c>
      <c r="R224" s="10" t="str">
        <f t="shared" si="25"/>
        <v/>
      </c>
      <c r="S224" s="10" t="str">
        <f>IF(AND(I224="Y",N224="",COUNTIF(Billing_Data!$H$5:$H$319,M224)=0),"NOT BILLED","")</f>
        <v/>
      </c>
      <c r="T224" s="14">
        <f t="shared" si="26"/>
        <v>0</v>
      </c>
      <c r="U224" s="15">
        <f t="shared" si="27"/>
        <v>944</v>
      </c>
    </row>
    <row r="225" spans="1:21" x14ac:dyDescent="0.25">
      <c r="A225" s="7" t="s">
        <v>286</v>
      </c>
      <c r="B225" s="7" t="s">
        <v>284</v>
      </c>
      <c r="C225" s="8" t="str">
        <f>IFERROR(INDEX(Lists!$B$5:$B$34,MATCH(B225,Lists!$A$5:$A$34,0)),"")</f>
        <v>Blake Underhill</v>
      </c>
      <c r="D225" s="8" t="str">
        <f>IFERROR(INDEX(Lists!$C$5:$C$34,MATCH(B225,Lists!$A$5:$A$34,0)),"")</f>
        <v>Field Supervisor</v>
      </c>
      <c r="E225" s="9">
        <v>46281</v>
      </c>
      <c r="F225" s="10" t="str">
        <f t="shared" si="21"/>
        <v>Wed</v>
      </c>
      <c r="G225" s="7" t="s">
        <v>41</v>
      </c>
      <c r="H225" s="8" t="str">
        <f>IFERROR(INDEX(Lists!$F$5:$F$9,MATCH(G225,Lists!$E$5:$E$9,0)),"")</f>
        <v>Alder Energy (fictional)</v>
      </c>
      <c r="I225" s="8" t="str">
        <f>IFERROR(INDEX(Lists!$G$5:$G$9,MATCH(G225,Lists!$E$5:$E$9,0)),"")</f>
        <v>Y</v>
      </c>
      <c r="J225" s="11">
        <v>8</v>
      </c>
      <c r="K225" s="12">
        <v>118</v>
      </c>
      <c r="L225" s="13">
        <f>IF(I225&lt;&gt;"Y","",IFERROR(INDEX(Lists!$L$5:$L$20,MATCH(D225&amp;"|"&amp;G225,Lists!$I$5:$I$20,0)),""))</f>
        <v>118</v>
      </c>
      <c r="M225" s="10" t="str">
        <f t="shared" si="22"/>
        <v>E021|20260916|P101</v>
      </c>
      <c r="N225" s="10" t="str">
        <f>IF(COUNTIFS($M$5:M225,M225)&gt;1,"DUPLICATE","")</f>
        <v/>
      </c>
      <c r="O225" s="10" t="str">
        <f t="shared" si="23"/>
        <v/>
      </c>
      <c r="P225" s="10" t="str">
        <f t="shared" si="24"/>
        <v/>
      </c>
      <c r="Q225" s="10" t="str">
        <f>IF(COUNTIF(Lists!$E$5:$E$9,G225)=0,"PROJECT?","")</f>
        <v/>
      </c>
      <c r="R225" s="10" t="str">
        <f t="shared" si="25"/>
        <v/>
      </c>
      <c r="S225" s="10" t="str">
        <f>IF(AND(I225="Y",N225="",COUNTIF(Billing_Data!$H$5:$H$319,M225)=0),"NOT BILLED","")</f>
        <v/>
      </c>
      <c r="T225" s="14">
        <f t="shared" si="26"/>
        <v>0</v>
      </c>
      <c r="U225" s="15">
        <f t="shared" si="27"/>
        <v>944</v>
      </c>
    </row>
    <row r="226" spans="1:21" x14ac:dyDescent="0.25">
      <c r="A226" s="7" t="s">
        <v>287</v>
      </c>
      <c r="B226" s="7" t="s">
        <v>284</v>
      </c>
      <c r="C226" s="8" t="str">
        <f>IFERROR(INDEX(Lists!$B$5:$B$34,MATCH(B226,Lists!$A$5:$A$34,0)),"")</f>
        <v>Blake Underhill</v>
      </c>
      <c r="D226" s="8" t="str">
        <f>IFERROR(INDEX(Lists!$C$5:$C$34,MATCH(B226,Lists!$A$5:$A$34,0)),"")</f>
        <v>Field Supervisor</v>
      </c>
      <c r="E226" s="9">
        <v>46282</v>
      </c>
      <c r="F226" s="10" t="str">
        <f t="shared" si="21"/>
        <v>Thu</v>
      </c>
      <c r="G226" s="7" t="s">
        <v>41</v>
      </c>
      <c r="H226" s="8" t="str">
        <f>IFERROR(INDEX(Lists!$F$5:$F$9,MATCH(G226,Lists!$E$5:$E$9,0)),"")</f>
        <v>Alder Energy (fictional)</v>
      </c>
      <c r="I226" s="8" t="str">
        <f>IFERROR(INDEX(Lists!$G$5:$G$9,MATCH(G226,Lists!$E$5:$E$9,0)),"")</f>
        <v>Y</v>
      </c>
      <c r="J226" s="11">
        <v>8</v>
      </c>
      <c r="K226" s="12">
        <v>118</v>
      </c>
      <c r="L226" s="13">
        <f>IF(I226&lt;&gt;"Y","",IFERROR(INDEX(Lists!$L$5:$L$20,MATCH(D226&amp;"|"&amp;G226,Lists!$I$5:$I$20,0)),""))</f>
        <v>118</v>
      </c>
      <c r="M226" s="10" t="str">
        <f t="shared" si="22"/>
        <v>E021|20260917|P101</v>
      </c>
      <c r="N226" s="10" t="str">
        <f>IF(COUNTIFS($M$5:M226,M226)&gt;1,"DUPLICATE","")</f>
        <v/>
      </c>
      <c r="O226" s="10" t="str">
        <f t="shared" si="23"/>
        <v/>
      </c>
      <c r="P226" s="10" t="str">
        <f t="shared" si="24"/>
        <v/>
      </c>
      <c r="Q226" s="10" t="str">
        <f>IF(COUNTIF(Lists!$E$5:$E$9,G226)=0,"PROJECT?","")</f>
        <v/>
      </c>
      <c r="R226" s="10" t="str">
        <f t="shared" si="25"/>
        <v/>
      </c>
      <c r="S226" s="10" t="str">
        <f>IF(AND(I226="Y",N226="",COUNTIF(Billing_Data!$H$5:$H$319,M226)=0),"NOT BILLED","")</f>
        <v/>
      </c>
      <c r="T226" s="14">
        <f t="shared" si="26"/>
        <v>0</v>
      </c>
      <c r="U226" s="15">
        <f t="shared" si="27"/>
        <v>944</v>
      </c>
    </row>
    <row r="227" spans="1:21" x14ac:dyDescent="0.25">
      <c r="A227" s="7" t="s">
        <v>288</v>
      </c>
      <c r="B227" s="7" t="s">
        <v>284</v>
      </c>
      <c r="C227" s="8" t="str">
        <f>IFERROR(INDEX(Lists!$B$5:$B$34,MATCH(B227,Lists!$A$5:$A$34,0)),"")</f>
        <v>Blake Underhill</v>
      </c>
      <c r="D227" s="8" t="str">
        <f>IFERROR(INDEX(Lists!$C$5:$C$34,MATCH(B227,Lists!$A$5:$A$34,0)),"")</f>
        <v>Field Supervisor</v>
      </c>
      <c r="E227" s="9">
        <v>46283</v>
      </c>
      <c r="F227" s="10" t="str">
        <f t="shared" si="21"/>
        <v>Fri</v>
      </c>
      <c r="G227" s="7" t="s">
        <v>41</v>
      </c>
      <c r="H227" s="8" t="str">
        <f>IFERROR(INDEX(Lists!$F$5:$F$9,MATCH(G227,Lists!$E$5:$E$9,0)),"")</f>
        <v>Alder Energy (fictional)</v>
      </c>
      <c r="I227" s="8" t="str">
        <f>IFERROR(INDEX(Lists!$G$5:$G$9,MATCH(G227,Lists!$E$5:$E$9,0)),"")</f>
        <v>Y</v>
      </c>
      <c r="J227" s="11">
        <v>8</v>
      </c>
      <c r="K227" s="12">
        <v>118</v>
      </c>
      <c r="L227" s="13">
        <f>IF(I227&lt;&gt;"Y","",IFERROR(INDEX(Lists!$L$5:$L$20,MATCH(D227&amp;"|"&amp;G227,Lists!$I$5:$I$20,0)),""))</f>
        <v>118</v>
      </c>
      <c r="M227" s="10" t="str">
        <f t="shared" si="22"/>
        <v>E021|20260918|P101</v>
      </c>
      <c r="N227" s="10" t="str">
        <f>IF(COUNTIFS($M$5:M227,M227)&gt;1,"DUPLICATE","")</f>
        <v/>
      </c>
      <c r="O227" s="10" t="str">
        <f t="shared" si="23"/>
        <v/>
      </c>
      <c r="P227" s="10" t="str">
        <f t="shared" si="24"/>
        <v/>
      </c>
      <c r="Q227" s="10" t="str">
        <f>IF(COUNTIF(Lists!$E$5:$E$9,G227)=0,"PROJECT?","")</f>
        <v/>
      </c>
      <c r="R227" s="10" t="str">
        <f t="shared" si="25"/>
        <v/>
      </c>
      <c r="S227" s="10" t="str">
        <f>IF(AND(I227="Y",N227="",COUNTIF(Billing_Data!$H$5:$H$319,M227)=0),"NOT BILLED","")</f>
        <v/>
      </c>
      <c r="T227" s="14">
        <f t="shared" si="26"/>
        <v>0</v>
      </c>
      <c r="U227" s="15">
        <f t="shared" si="27"/>
        <v>944</v>
      </c>
    </row>
    <row r="228" spans="1:21" x14ac:dyDescent="0.25">
      <c r="A228" s="7" t="s">
        <v>289</v>
      </c>
      <c r="B228" s="7" t="s">
        <v>284</v>
      </c>
      <c r="C228" s="8" t="str">
        <f>IFERROR(INDEX(Lists!$B$5:$B$34,MATCH(B228,Lists!$A$5:$A$34,0)),"")</f>
        <v>Blake Underhill</v>
      </c>
      <c r="D228" s="8" t="str">
        <f>IFERROR(INDEX(Lists!$C$5:$C$34,MATCH(B228,Lists!$A$5:$A$34,0)),"")</f>
        <v>Field Supervisor</v>
      </c>
      <c r="E228" s="9">
        <v>46286</v>
      </c>
      <c r="F228" s="10" t="str">
        <f t="shared" si="21"/>
        <v>Mon</v>
      </c>
      <c r="G228" s="7" t="s">
        <v>41</v>
      </c>
      <c r="H228" s="8" t="str">
        <f>IFERROR(INDEX(Lists!$F$5:$F$9,MATCH(G228,Lists!$E$5:$E$9,0)),"")</f>
        <v>Alder Energy (fictional)</v>
      </c>
      <c r="I228" s="8" t="str">
        <f>IFERROR(INDEX(Lists!$G$5:$G$9,MATCH(G228,Lists!$E$5:$E$9,0)),"")</f>
        <v>Y</v>
      </c>
      <c r="J228" s="11">
        <v>8</v>
      </c>
      <c r="K228" s="12">
        <v>118</v>
      </c>
      <c r="L228" s="13">
        <f>IF(I228&lt;&gt;"Y","",IFERROR(INDEX(Lists!$L$5:$L$20,MATCH(D228&amp;"|"&amp;G228,Lists!$I$5:$I$20,0)),""))</f>
        <v>118</v>
      </c>
      <c r="M228" s="10" t="str">
        <f t="shared" si="22"/>
        <v>E021|20260921|P101</v>
      </c>
      <c r="N228" s="10" t="str">
        <f>IF(COUNTIFS($M$5:M228,M228)&gt;1,"DUPLICATE","")</f>
        <v/>
      </c>
      <c r="O228" s="10" t="str">
        <f t="shared" si="23"/>
        <v/>
      </c>
      <c r="P228" s="10" t="str">
        <f t="shared" si="24"/>
        <v/>
      </c>
      <c r="Q228" s="10" t="str">
        <f>IF(COUNTIF(Lists!$E$5:$E$9,G228)=0,"PROJECT?","")</f>
        <v/>
      </c>
      <c r="R228" s="10" t="str">
        <f t="shared" si="25"/>
        <v/>
      </c>
      <c r="S228" s="10" t="str">
        <f>IF(AND(I228="Y",N228="",COUNTIF(Billing_Data!$H$5:$H$319,M228)=0),"NOT BILLED","")</f>
        <v/>
      </c>
      <c r="T228" s="14">
        <f t="shared" si="26"/>
        <v>0</v>
      </c>
      <c r="U228" s="15">
        <f t="shared" si="27"/>
        <v>944</v>
      </c>
    </row>
    <row r="229" spans="1:21" x14ac:dyDescent="0.25">
      <c r="A229" s="7" t="s">
        <v>290</v>
      </c>
      <c r="B229" s="7" t="s">
        <v>284</v>
      </c>
      <c r="C229" s="8" t="str">
        <f>IFERROR(INDEX(Lists!$B$5:$B$34,MATCH(B229,Lists!$A$5:$A$34,0)),"")</f>
        <v>Blake Underhill</v>
      </c>
      <c r="D229" s="8" t="str">
        <f>IFERROR(INDEX(Lists!$C$5:$C$34,MATCH(B229,Lists!$A$5:$A$34,0)),"")</f>
        <v>Field Supervisor</v>
      </c>
      <c r="E229" s="9">
        <v>46287</v>
      </c>
      <c r="F229" s="10" t="str">
        <f t="shared" si="21"/>
        <v>Tue</v>
      </c>
      <c r="G229" s="7" t="s">
        <v>41</v>
      </c>
      <c r="H229" s="8" t="str">
        <f>IFERROR(INDEX(Lists!$F$5:$F$9,MATCH(G229,Lists!$E$5:$E$9,0)),"")</f>
        <v>Alder Energy (fictional)</v>
      </c>
      <c r="I229" s="8" t="str">
        <f>IFERROR(INDEX(Lists!$G$5:$G$9,MATCH(G229,Lists!$E$5:$E$9,0)),"")</f>
        <v>Y</v>
      </c>
      <c r="J229" s="11">
        <v>8</v>
      </c>
      <c r="K229" s="12">
        <v>118</v>
      </c>
      <c r="L229" s="13">
        <f>IF(I229&lt;&gt;"Y","",IFERROR(INDEX(Lists!$L$5:$L$20,MATCH(D229&amp;"|"&amp;G229,Lists!$I$5:$I$20,0)),""))</f>
        <v>118</v>
      </c>
      <c r="M229" s="10" t="str">
        <f t="shared" si="22"/>
        <v>E021|20260922|P101</v>
      </c>
      <c r="N229" s="10" t="str">
        <f>IF(COUNTIFS($M$5:M229,M229)&gt;1,"DUPLICATE","")</f>
        <v/>
      </c>
      <c r="O229" s="10" t="str">
        <f t="shared" si="23"/>
        <v/>
      </c>
      <c r="P229" s="10" t="str">
        <f t="shared" si="24"/>
        <v/>
      </c>
      <c r="Q229" s="10" t="str">
        <f>IF(COUNTIF(Lists!$E$5:$E$9,G229)=0,"PROJECT?","")</f>
        <v/>
      </c>
      <c r="R229" s="10" t="str">
        <f t="shared" si="25"/>
        <v/>
      </c>
      <c r="S229" s="10" t="str">
        <f>IF(AND(I229="Y",N229="",COUNTIF(Billing_Data!$H$5:$H$319,M229)=0),"NOT BILLED","")</f>
        <v/>
      </c>
      <c r="T229" s="14">
        <f t="shared" si="26"/>
        <v>0</v>
      </c>
      <c r="U229" s="15">
        <f t="shared" si="27"/>
        <v>944</v>
      </c>
    </row>
    <row r="230" spans="1:21" x14ac:dyDescent="0.25">
      <c r="A230" s="7" t="s">
        <v>291</v>
      </c>
      <c r="B230" s="7" t="s">
        <v>284</v>
      </c>
      <c r="C230" s="8" t="str">
        <f>IFERROR(INDEX(Lists!$B$5:$B$34,MATCH(B230,Lists!$A$5:$A$34,0)),"")</f>
        <v>Blake Underhill</v>
      </c>
      <c r="D230" s="8" t="str">
        <f>IFERROR(INDEX(Lists!$C$5:$C$34,MATCH(B230,Lists!$A$5:$A$34,0)),"")</f>
        <v>Field Supervisor</v>
      </c>
      <c r="E230" s="9">
        <v>46288</v>
      </c>
      <c r="F230" s="10" t="str">
        <f t="shared" si="21"/>
        <v>Wed</v>
      </c>
      <c r="G230" s="7" t="s">
        <v>41</v>
      </c>
      <c r="H230" s="8" t="str">
        <f>IFERROR(INDEX(Lists!$F$5:$F$9,MATCH(G230,Lists!$E$5:$E$9,0)),"")</f>
        <v>Alder Energy (fictional)</v>
      </c>
      <c r="I230" s="8" t="str">
        <f>IFERROR(INDEX(Lists!$G$5:$G$9,MATCH(G230,Lists!$E$5:$E$9,0)),"")</f>
        <v>Y</v>
      </c>
      <c r="J230" s="11">
        <v>14.5</v>
      </c>
      <c r="K230" s="12">
        <v>118</v>
      </c>
      <c r="L230" s="13">
        <f>IF(I230&lt;&gt;"Y","",IFERROR(INDEX(Lists!$L$5:$L$20,MATCH(D230&amp;"|"&amp;G230,Lists!$I$5:$I$20,0)),""))</f>
        <v>118</v>
      </c>
      <c r="M230" s="10" t="str">
        <f t="shared" si="22"/>
        <v>E021|20260923|P101</v>
      </c>
      <c r="N230" s="10" t="str">
        <f>IF(COUNTIFS($M$5:M230,M230)&gt;1,"DUPLICATE","")</f>
        <v/>
      </c>
      <c r="O230" s="10" t="str">
        <f t="shared" si="23"/>
        <v>HOURS?</v>
      </c>
      <c r="P230" s="10" t="str">
        <f t="shared" si="24"/>
        <v/>
      </c>
      <c r="Q230" s="10" t="str">
        <f>IF(COUNTIF(Lists!$E$5:$E$9,G230)=0,"PROJECT?","")</f>
        <v/>
      </c>
      <c r="R230" s="10" t="str">
        <f t="shared" si="25"/>
        <v/>
      </c>
      <c r="S230" s="10" t="str">
        <f>IF(AND(I230="Y",N230="",COUNTIF(Billing_Data!$H$5:$H$319,M230)=0),"NOT BILLED","")</f>
        <v/>
      </c>
      <c r="T230" s="14">
        <f t="shared" si="26"/>
        <v>1</v>
      </c>
      <c r="U230" s="15">
        <f t="shared" si="27"/>
        <v>1711</v>
      </c>
    </row>
    <row r="231" spans="1:21" x14ac:dyDescent="0.25">
      <c r="A231" s="7" t="s">
        <v>292</v>
      </c>
      <c r="B231" s="7" t="s">
        <v>284</v>
      </c>
      <c r="C231" s="8" t="str">
        <f>IFERROR(INDEX(Lists!$B$5:$B$34,MATCH(B231,Lists!$A$5:$A$34,0)),"")</f>
        <v>Blake Underhill</v>
      </c>
      <c r="D231" s="8" t="str">
        <f>IFERROR(INDEX(Lists!$C$5:$C$34,MATCH(B231,Lists!$A$5:$A$34,0)),"")</f>
        <v>Field Supervisor</v>
      </c>
      <c r="E231" s="9">
        <v>46289</v>
      </c>
      <c r="F231" s="10" t="str">
        <f t="shared" si="21"/>
        <v>Thu</v>
      </c>
      <c r="G231" s="7" t="s">
        <v>41</v>
      </c>
      <c r="H231" s="8" t="str">
        <f>IFERROR(INDEX(Lists!$F$5:$F$9,MATCH(G231,Lists!$E$5:$E$9,0)),"")</f>
        <v>Alder Energy (fictional)</v>
      </c>
      <c r="I231" s="8" t="str">
        <f>IFERROR(INDEX(Lists!$G$5:$G$9,MATCH(G231,Lists!$E$5:$E$9,0)),"")</f>
        <v>Y</v>
      </c>
      <c r="J231" s="11">
        <v>8</v>
      </c>
      <c r="K231" s="12">
        <v>118</v>
      </c>
      <c r="L231" s="13">
        <f>IF(I231&lt;&gt;"Y","",IFERROR(INDEX(Lists!$L$5:$L$20,MATCH(D231&amp;"|"&amp;G231,Lists!$I$5:$I$20,0)),""))</f>
        <v>118</v>
      </c>
      <c r="M231" s="10" t="str">
        <f t="shared" si="22"/>
        <v>E021|20260924|P101</v>
      </c>
      <c r="N231" s="10" t="str">
        <f>IF(COUNTIFS($M$5:M231,M231)&gt;1,"DUPLICATE","")</f>
        <v/>
      </c>
      <c r="O231" s="10" t="str">
        <f t="shared" si="23"/>
        <v/>
      </c>
      <c r="P231" s="10" t="str">
        <f t="shared" si="24"/>
        <v/>
      </c>
      <c r="Q231" s="10" t="str">
        <f>IF(COUNTIF(Lists!$E$5:$E$9,G231)=0,"PROJECT?","")</f>
        <v/>
      </c>
      <c r="R231" s="10" t="str">
        <f t="shared" si="25"/>
        <v/>
      </c>
      <c r="S231" s="10" t="str">
        <f>IF(AND(I231="Y",N231="",COUNTIF(Billing_Data!$H$5:$H$319,M231)=0),"NOT BILLED","")</f>
        <v/>
      </c>
      <c r="T231" s="14">
        <f t="shared" si="26"/>
        <v>0</v>
      </c>
      <c r="U231" s="15">
        <f t="shared" si="27"/>
        <v>944</v>
      </c>
    </row>
    <row r="232" spans="1:21" x14ac:dyDescent="0.25">
      <c r="A232" s="7" t="s">
        <v>293</v>
      </c>
      <c r="B232" s="7" t="s">
        <v>284</v>
      </c>
      <c r="C232" s="8" t="str">
        <f>IFERROR(INDEX(Lists!$B$5:$B$34,MATCH(B232,Lists!$A$5:$A$34,0)),"")</f>
        <v>Blake Underhill</v>
      </c>
      <c r="D232" s="8" t="str">
        <f>IFERROR(INDEX(Lists!$C$5:$C$34,MATCH(B232,Lists!$A$5:$A$34,0)),"")</f>
        <v>Field Supervisor</v>
      </c>
      <c r="E232" s="9">
        <v>46290</v>
      </c>
      <c r="F232" s="10" t="str">
        <f t="shared" si="21"/>
        <v>Fri</v>
      </c>
      <c r="G232" s="7" t="s">
        <v>41</v>
      </c>
      <c r="H232" s="8" t="str">
        <f>IFERROR(INDEX(Lists!$F$5:$F$9,MATCH(G232,Lists!$E$5:$E$9,0)),"")</f>
        <v>Alder Energy (fictional)</v>
      </c>
      <c r="I232" s="8" t="str">
        <f>IFERROR(INDEX(Lists!$G$5:$G$9,MATCH(G232,Lists!$E$5:$E$9,0)),"")</f>
        <v>Y</v>
      </c>
      <c r="J232" s="11">
        <v>8</v>
      </c>
      <c r="K232" s="12">
        <v>118</v>
      </c>
      <c r="L232" s="13">
        <f>IF(I232&lt;&gt;"Y","",IFERROR(INDEX(Lists!$L$5:$L$20,MATCH(D232&amp;"|"&amp;G232,Lists!$I$5:$I$20,0)),""))</f>
        <v>118</v>
      </c>
      <c r="M232" s="10" t="str">
        <f t="shared" si="22"/>
        <v>E021|20260925|P101</v>
      </c>
      <c r="N232" s="10" t="str">
        <f>IF(COUNTIFS($M$5:M232,M232)&gt;1,"DUPLICATE","")</f>
        <v/>
      </c>
      <c r="O232" s="10" t="str">
        <f t="shared" si="23"/>
        <v/>
      </c>
      <c r="P232" s="10" t="str">
        <f t="shared" si="24"/>
        <v/>
      </c>
      <c r="Q232" s="10" t="str">
        <f>IF(COUNTIF(Lists!$E$5:$E$9,G232)=0,"PROJECT?","")</f>
        <v/>
      </c>
      <c r="R232" s="10" t="str">
        <f t="shared" si="25"/>
        <v/>
      </c>
      <c r="S232" s="10" t="str">
        <f>IF(AND(I232="Y",N232="",COUNTIF(Billing_Data!$H$5:$H$319,M232)=0),"NOT BILLED","")</f>
        <v/>
      </c>
      <c r="T232" s="14">
        <f t="shared" si="26"/>
        <v>0</v>
      </c>
      <c r="U232" s="15">
        <f t="shared" si="27"/>
        <v>944</v>
      </c>
    </row>
    <row r="233" spans="1:21" x14ac:dyDescent="0.25">
      <c r="A233" s="7" t="s">
        <v>294</v>
      </c>
      <c r="B233" s="7" t="s">
        <v>295</v>
      </c>
      <c r="C233" s="8" t="str">
        <f>IFERROR(INDEX(Lists!$B$5:$B$34,MATCH(B233,Lists!$A$5:$A$34,0)),"")</f>
        <v>Drew Vance</v>
      </c>
      <c r="D233" s="8" t="str">
        <f>IFERROR(INDEX(Lists!$C$5:$C$34,MATCH(B233,Lists!$A$5:$A$34,0)),"")</f>
        <v>Field Supervisor</v>
      </c>
      <c r="E233" s="9">
        <v>46279</v>
      </c>
      <c r="F233" s="10" t="str">
        <f t="shared" si="21"/>
        <v>Mon</v>
      </c>
      <c r="G233" s="7" t="s">
        <v>46</v>
      </c>
      <c r="H233" s="8" t="str">
        <f>IFERROR(INDEX(Lists!$F$5:$F$9,MATCH(G233,Lists!$E$5:$E$9,0)),"")</f>
        <v>Birchwood Midstream (fictional)</v>
      </c>
      <c r="I233" s="8" t="str">
        <f>IFERROR(INDEX(Lists!$G$5:$G$9,MATCH(G233,Lists!$E$5:$E$9,0)),"")</f>
        <v>Y</v>
      </c>
      <c r="J233" s="11">
        <v>8</v>
      </c>
      <c r="K233" s="12">
        <v>124</v>
      </c>
      <c r="L233" s="13">
        <f>IF(I233&lt;&gt;"Y","",IFERROR(INDEX(Lists!$L$5:$L$20,MATCH(D233&amp;"|"&amp;G233,Lists!$I$5:$I$20,0)),""))</f>
        <v>124</v>
      </c>
      <c r="M233" s="10" t="str">
        <f t="shared" si="22"/>
        <v>E022|20260914|P102</v>
      </c>
      <c r="N233" s="10" t="str">
        <f>IF(COUNTIFS($M$5:M233,M233)&gt;1,"DUPLICATE","")</f>
        <v/>
      </c>
      <c r="O233" s="10" t="str">
        <f t="shared" si="23"/>
        <v/>
      </c>
      <c r="P233" s="10" t="str">
        <f t="shared" si="24"/>
        <v/>
      </c>
      <c r="Q233" s="10" t="str">
        <f>IF(COUNTIF(Lists!$E$5:$E$9,G233)=0,"PROJECT?","")</f>
        <v/>
      </c>
      <c r="R233" s="10" t="str">
        <f t="shared" si="25"/>
        <v/>
      </c>
      <c r="S233" s="10" t="str">
        <f>IF(AND(I233="Y",N233="",COUNTIF(Billing_Data!$H$5:$H$319,M233)=0),"NOT BILLED","")</f>
        <v/>
      </c>
      <c r="T233" s="14">
        <f t="shared" si="26"/>
        <v>0</v>
      </c>
      <c r="U233" s="15">
        <f t="shared" si="27"/>
        <v>992</v>
      </c>
    </row>
    <row r="234" spans="1:21" x14ac:dyDescent="0.25">
      <c r="A234" s="7" t="s">
        <v>296</v>
      </c>
      <c r="B234" s="7" t="s">
        <v>295</v>
      </c>
      <c r="C234" s="8" t="str">
        <f>IFERROR(INDEX(Lists!$B$5:$B$34,MATCH(B234,Lists!$A$5:$A$34,0)),"")</f>
        <v>Drew Vance</v>
      </c>
      <c r="D234" s="8" t="str">
        <f>IFERROR(INDEX(Lists!$C$5:$C$34,MATCH(B234,Lists!$A$5:$A$34,0)),"")</f>
        <v>Field Supervisor</v>
      </c>
      <c r="E234" s="9">
        <v>46280</v>
      </c>
      <c r="F234" s="10" t="str">
        <f t="shared" si="21"/>
        <v>Tue</v>
      </c>
      <c r="G234" s="7" t="s">
        <v>46</v>
      </c>
      <c r="H234" s="8" t="str">
        <f>IFERROR(INDEX(Lists!$F$5:$F$9,MATCH(G234,Lists!$E$5:$E$9,0)),"")</f>
        <v>Birchwood Midstream (fictional)</v>
      </c>
      <c r="I234" s="8" t="str">
        <f>IFERROR(INDEX(Lists!$G$5:$G$9,MATCH(G234,Lists!$E$5:$E$9,0)),"")</f>
        <v>Y</v>
      </c>
      <c r="J234" s="11">
        <v>8</v>
      </c>
      <c r="K234" s="12">
        <v>124</v>
      </c>
      <c r="L234" s="13">
        <f>IF(I234&lt;&gt;"Y","",IFERROR(INDEX(Lists!$L$5:$L$20,MATCH(D234&amp;"|"&amp;G234,Lists!$I$5:$I$20,0)),""))</f>
        <v>124</v>
      </c>
      <c r="M234" s="10" t="str">
        <f t="shared" si="22"/>
        <v>E022|20260915|P102</v>
      </c>
      <c r="N234" s="10" t="str">
        <f>IF(COUNTIFS($M$5:M234,M234)&gt;1,"DUPLICATE","")</f>
        <v/>
      </c>
      <c r="O234" s="10" t="str">
        <f t="shared" si="23"/>
        <v/>
      </c>
      <c r="P234" s="10" t="str">
        <f t="shared" si="24"/>
        <v/>
      </c>
      <c r="Q234" s="10" t="str">
        <f>IF(COUNTIF(Lists!$E$5:$E$9,G234)=0,"PROJECT?","")</f>
        <v/>
      </c>
      <c r="R234" s="10" t="str">
        <f t="shared" si="25"/>
        <v/>
      </c>
      <c r="S234" s="10" t="str">
        <f>IF(AND(I234="Y",N234="",COUNTIF(Billing_Data!$H$5:$H$319,M234)=0),"NOT BILLED","")</f>
        <v/>
      </c>
      <c r="T234" s="14">
        <f t="shared" si="26"/>
        <v>0</v>
      </c>
      <c r="U234" s="15">
        <f t="shared" si="27"/>
        <v>992</v>
      </c>
    </row>
    <row r="235" spans="1:21" x14ac:dyDescent="0.25">
      <c r="A235" s="7" t="s">
        <v>297</v>
      </c>
      <c r="B235" s="7" t="s">
        <v>295</v>
      </c>
      <c r="C235" s="8" t="str">
        <f>IFERROR(INDEX(Lists!$B$5:$B$34,MATCH(B235,Lists!$A$5:$A$34,0)),"")</f>
        <v>Drew Vance</v>
      </c>
      <c r="D235" s="8" t="str">
        <f>IFERROR(INDEX(Lists!$C$5:$C$34,MATCH(B235,Lists!$A$5:$A$34,0)),"")</f>
        <v>Field Supervisor</v>
      </c>
      <c r="E235" s="9">
        <v>46281</v>
      </c>
      <c r="F235" s="10" t="str">
        <f t="shared" si="21"/>
        <v>Wed</v>
      </c>
      <c r="G235" s="7" t="s">
        <v>46</v>
      </c>
      <c r="H235" s="8" t="str">
        <f>IFERROR(INDEX(Lists!$F$5:$F$9,MATCH(G235,Lists!$E$5:$E$9,0)),"")</f>
        <v>Birchwood Midstream (fictional)</v>
      </c>
      <c r="I235" s="8" t="str">
        <f>IFERROR(INDEX(Lists!$G$5:$G$9,MATCH(G235,Lists!$E$5:$E$9,0)),"")</f>
        <v>Y</v>
      </c>
      <c r="J235" s="11">
        <v>8</v>
      </c>
      <c r="K235" s="12">
        <v>124</v>
      </c>
      <c r="L235" s="13">
        <f>IF(I235&lt;&gt;"Y","",IFERROR(INDEX(Lists!$L$5:$L$20,MATCH(D235&amp;"|"&amp;G235,Lists!$I$5:$I$20,0)),""))</f>
        <v>124</v>
      </c>
      <c r="M235" s="10" t="str">
        <f t="shared" si="22"/>
        <v>E022|20260916|P102</v>
      </c>
      <c r="N235" s="10" t="str">
        <f>IF(COUNTIFS($M$5:M235,M235)&gt;1,"DUPLICATE","")</f>
        <v/>
      </c>
      <c r="O235" s="10" t="str">
        <f t="shared" si="23"/>
        <v/>
      </c>
      <c r="P235" s="10" t="str">
        <f t="shared" si="24"/>
        <v/>
      </c>
      <c r="Q235" s="10" t="str">
        <f>IF(COUNTIF(Lists!$E$5:$E$9,G235)=0,"PROJECT?","")</f>
        <v/>
      </c>
      <c r="R235" s="10" t="str">
        <f t="shared" si="25"/>
        <v/>
      </c>
      <c r="S235" s="10" t="str">
        <f>IF(AND(I235="Y",N235="",COUNTIF(Billing_Data!$H$5:$H$319,M235)=0),"NOT BILLED","")</f>
        <v/>
      </c>
      <c r="T235" s="14">
        <f t="shared" si="26"/>
        <v>0</v>
      </c>
      <c r="U235" s="15">
        <f t="shared" si="27"/>
        <v>992</v>
      </c>
    </row>
    <row r="236" spans="1:21" x14ac:dyDescent="0.25">
      <c r="A236" s="7" t="s">
        <v>298</v>
      </c>
      <c r="B236" s="7" t="s">
        <v>295</v>
      </c>
      <c r="C236" s="8" t="str">
        <f>IFERROR(INDEX(Lists!$B$5:$B$34,MATCH(B236,Lists!$A$5:$A$34,0)),"")</f>
        <v>Drew Vance</v>
      </c>
      <c r="D236" s="8" t="str">
        <f>IFERROR(INDEX(Lists!$C$5:$C$34,MATCH(B236,Lists!$A$5:$A$34,0)),"")</f>
        <v>Field Supervisor</v>
      </c>
      <c r="E236" s="9">
        <v>46282</v>
      </c>
      <c r="F236" s="10" t="str">
        <f t="shared" si="21"/>
        <v>Thu</v>
      </c>
      <c r="G236" s="7" t="s">
        <v>46</v>
      </c>
      <c r="H236" s="8" t="str">
        <f>IFERROR(INDEX(Lists!$F$5:$F$9,MATCH(G236,Lists!$E$5:$E$9,0)),"")</f>
        <v>Birchwood Midstream (fictional)</v>
      </c>
      <c r="I236" s="8" t="str">
        <f>IFERROR(INDEX(Lists!$G$5:$G$9,MATCH(G236,Lists!$E$5:$E$9,0)),"")</f>
        <v>Y</v>
      </c>
      <c r="J236" s="11">
        <v>4</v>
      </c>
      <c r="K236" s="12">
        <v>124</v>
      </c>
      <c r="L236" s="13">
        <f>IF(I236&lt;&gt;"Y","",IFERROR(INDEX(Lists!$L$5:$L$20,MATCH(D236&amp;"|"&amp;G236,Lists!$I$5:$I$20,0)),""))</f>
        <v>124</v>
      </c>
      <c r="M236" s="10" t="str">
        <f t="shared" si="22"/>
        <v>E022|20260917|P102</v>
      </c>
      <c r="N236" s="10" t="str">
        <f>IF(COUNTIFS($M$5:M236,M236)&gt;1,"DUPLICATE","")</f>
        <v/>
      </c>
      <c r="O236" s="10" t="str">
        <f t="shared" si="23"/>
        <v/>
      </c>
      <c r="P236" s="10" t="str">
        <f t="shared" si="24"/>
        <v/>
      </c>
      <c r="Q236" s="10" t="str">
        <f>IF(COUNTIF(Lists!$E$5:$E$9,G236)=0,"PROJECT?","")</f>
        <v/>
      </c>
      <c r="R236" s="10" t="str">
        <f t="shared" si="25"/>
        <v/>
      </c>
      <c r="S236" s="10" t="str">
        <f>IF(AND(I236="Y",N236="",COUNTIF(Billing_Data!$H$5:$H$319,M236)=0),"NOT BILLED","")</f>
        <v/>
      </c>
      <c r="T236" s="14">
        <f t="shared" si="26"/>
        <v>0</v>
      </c>
      <c r="U236" s="15">
        <f t="shared" si="27"/>
        <v>496</v>
      </c>
    </row>
    <row r="237" spans="1:21" x14ac:dyDescent="0.25">
      <c r="A237" s="7" t="s">
        <v>299</v>
      </c>
      <c r="B237" s="7" t="s">
        <v>295</v>
      </c>
      <c r="C237" s="8" t="str">
        <f>IFERROR(INDEX(Lists!$B$5:$B$34,MATCH(B237,Lists!$A$5:$A$34,0)),"")</f>
        <v>Drew Vance</v>
      </c>
      <c r="D237" s="8" t="str">
        <f>IFERROR(INDEX(Lists!$C$5:$C$34,MATCH(B237,Lists!$A$5:$A$34,0)),"")</f>
        <v>Field Supervisor</v>
      </c>
      <c r="E237" s="9">
        <v>46282</v>
      </c>
      <c r="F237" s="10" t="str">
        <f t="shared" si="21"/>
        <v>Thu</v>
      </c>
      <c r="G237" s="7" t="s">
        <v>41</v>
      </c>
      <c r="H237" s="8" t="str">
        <f>IFERROR(INDEX(Lists!$F$5:$F$9,MATCH(G237,Lists!$E$5:$E$9,0)),"")</f>
        <v>Alder Energy (fictional)</v>
      </c>
      <c r="I237" s="8" t="str">
        <f>IFERROR(INDEX(Lists!$G$5:$G$9,MATCH(G237,Lists!$E$5:$E$9,0)),"")</f>
        <v>Y</v>
      </c>
      <c r="J237" s="11">
        <v>4</v>
      </c>
      <c r="K237" s="12">
        <v>118</v>
      </c>
      <c r="L237" s="13">
        <f>IF(I237&lt;&gt;"Y","",IFERROR(INDEX(Lists!$L$5:$L$20,MATCH(D237&amp;"|"&amp;G237,Lists!$I$5:$I$20,0)),""))</f>
        <v>118</v>
      </c>
      <c r="M237" s="10" t="str">
        <f t="shared" si="22"/>
        <v>E022|20260917|P101</v>
      </c>
      <c r="N237" s="10" t="str">
        <f>IF(COUNTIFS($M$5:M237,M237)&gt;1,"DUPLICATE","")</f>
        <v/>
      </c>
      <c r="O237" s="10" t="str">
        <f t="shared" si="23"/>
        <v/>
      </c>
      <c r="P237" s="10" t="str">
        <f t="shared" si="24"/>
        <v/>
      </c>
      <c r="Q237" s="10" t="str">
        <f>IF(COUNTIF(Lists!$E$5:$E$9,G237)=0,"PROJECT?","")</f>
        <v/>
      </c>
      <c r="R237" s="10" t="str">
        <f t="shared" si="25"/>
        <v/>
      </c>
      <c r="S237" s="10" t="str">
        <f>IF(AND(I237="Y",N237="",COUNTIF(Billing_Data!$H$5:$H$319,M237)=0),"NOT BILLED","")</f>
        <v/>
      </c>
      <c r="T237" s="14">
        <f t="shared" si="26"/>
        <v>0</v>
      </c>
      <c r="U237" s="15">
        <f t="shared" si="27"/>
        <v>472</v>
      </c>
    </row>
    <row r="238" spans="1:21" x14ac:dyDescent="0.25">
      <c r="A238" s="7" t="s">
        <v>300</v>
      </c>
      <c r="B238" s="7" t="s">
        <v>295</v>
      </c>
      <c r="C238" s="8" t="str">
        <f>IFERROR(INDEX(Lists!$B$5:$B$34,MATCH(B238,Lists!$A$5:$A$34,0)),"")</f>
        <v>Drew Vance</v>
      </c>
      <c r="D238" s="8" t="str">
        <f>IFERROR(INDEX(Lists!$C$5:$C$34,MATCH(B238,Lists!$A$5:$A$34,0)),"")</f>
        <v>Field Supervisor</v>
      </c>
      <c r="E238" s="9">
        <v>46283</v>
      </c>
      <c r="F238" s="10" t="str">
        <f t="shared" si="21"/>
        <v>Fri</v>
      </c>
      <c r="G238" s="7" t="s">
        <v>46</v>
      </c>
      <c r="H238" s="8" t="str">
        <f>IFERROR(INDEX(Lists!$F$5:$F$9,MATCH(G238,Lists!$E$5:$E$9,0)),"")</f>
        <v>Birchwood Midstream (fictional)</v>
      </c>
      <c r="I238" s="8" t="str">
        <f>IFERROR(INDEX(Lists!$G$5:$G$9,MATCH(G238,Lists!$E$5:$E$9,0)),"")</f>
        <v>Y</v>
      </c>
      <c r="J238" s="11">
        <v>8</v>
      </c>
      <c r="K238" s="12">
        <v>124</v>
      </c>
      <c r="L238" s="13">
        <f>IF(I238&lt;&gt;"Y","",IFERROR(INDEX(Lists!$L$5:$L$20,MATCH(D238&amp;"|"&amp;G238,Lists!$I$5:$I$20,0)),""))</f>
        <v>124</v>
      </c>
      <c r="M238" s="10" t="str">
        <f t="shared" si="22"/>
        <v>E022|20260918|P102</v>
      </c>
      <c r="N238" s="10" t="str">
        <f>IF(COUNTIFS($M$5:M238,M238)&gt;1,"DUPLICATE","")</f>
        <v/>
      </c>
      <c r="O238" s="10" t="str">
        <f t="shared" si="23"/>
        <v/>
      </c>
      <c r="P238" s="10" t="str">
        <f t="shared" si="24"/>
        <v/>
      </c>
      <c r="Q238" s="10" t="str">
        <f>IF(COUNTIF(Lists!$E$5:$E$9,G238)=0,"PROJECT?","")</f>
        <v/>
      </c>
      <c r="R238" s="10" t="str">
        <f t="shared" si="25"/>
        <v/>
      </c>
      <c r="S238" s="10" t="str">
        <f>IF(AND(I238="Y",N238="",COUNTIF(Billing_Data!$H$5:$H$319,M238)=0),"NOT BILLED","")</f>
        <v/>
      </c>
      <c r="T238" s="14">
        <f t="shared" si="26"/>
        <v>0</v>
      </c>
      <c r="U238" s="15">
        <f t="shared" si="27"/>
        <v>992</v>
      </c>
    </row>
    <row r="239" spans="1:21" x14ac:dyDescent="0.25">
      <c r="A239" s="7" t="s">
        <v>301</v>
      </c>
      <c r="B239" s="7" t="s">
        <v>295</v>
      </c>
      <c r="C239" s="8" t="str">
        <f>IFERROR(INDEX(Lists!$B$5:$B$34,MATCH(B239,Lists!$A$5:$A$34,0)),"")</f>
        <v>Drew Vance</v>
      </c>
      <c r="D239" s="8" t="str">
        <f>IFERROR(INDEX(Lists!$C$5:$C$34,MATCH(B239,Lists!$A$5:$A$34,0)),"")</f>
        <v>Field Supervisor</v>
      </c>
      <c r="E239" s="9">
        <v>46286</v>
      </c>
      <c r="F239" s="10" t="str">
        <f t="shared" si="21"/>
        <v>Mon</v>
      </c>
      <c r="G239" s="7" t="s">
        <v>46</v>
      </c>
      <c r="H239" s="8" t="str">
        <f>IFERROR(INDEX(Lists!$F$5:$F$9,MATCH(G239,Lists!$E$5:$E$9,0)),"")</f>
        <v>Birchwood Midstream (fictional)</v>
      </c>
      <c r="I239" s="8" t="str">
        <f>IFERROR(INDEX(Lists!$G$5:$G$9,MATCH(G239,Lists!$E$5:$E$9,0)),"")</f>
        <v>Y</v>
      </c>
      <c r="J239" s="11">
        <v>8</v>
      </c>
      <c r="K239" s="12">
        <v>124</v>
      </c>
      <c r="L239" s="13">
        <f>IF(I239&lt;&gt;"Y","",IFERROR(INDEX(Lists!$L$5:$L$20,MATCH(D239&amp;"|"&amp;G239,Lists!$I$5:$I$20,0)),""))</f>
        <v>124</v>
      </c>
      <c r="M239" s="10" t="str">
        <f t="shared" si="22"/>
        <v>E022|20260921|P102</v>
      </c>
      <c r="N239" s="10" t="str">
        <f>IF(COUNTIFS($M$5:M239,M239)&gt;1,"DUPLICATE","")</f>
        <v/>
      </c>
      <c r="O239" s="10" t="str">
        <f t="shared" si="23"/>
        <v/>
      </c>
      <c r="P239" s="10" t="str">
        <f t="shared" si="24"/>
        <v/>
      </c>
      <c r="Q239" s="10" t="str">
        <f>IF(COUNTIF(Lists!$E$5:$E$9,G239)=0,"PROJECT?","")</f>
        <v/>
      </c>
      <c r="R239" s="10" t="str">
        <f t="shared" si="25"/>
        <v/>
      </c>
      <c r="S239" s="10" t="str">
        <f>IF(AND(I239="Y",N239="",COUNTIF(Billing_Data!$H$5:$H$319,M239)=0),"NOT BILLED","")</f>
        <v/>
      </c>
      <c r="T239" s="14">
        <f t="shared" si="26"/>
        <v>0</v>
      </c>
      <c r="U239" s="15">
        <f t="shared" si="27"/>
        <v>992</v>
      </c>
    </row>
    <row r="240" spans="1:21" x14ac:dyDescent="0.25">
      <c r="A240" s="7" t="s">
        <v>302</v>
      </c>
      <c r="B240" s="7" t="s">
        <v>295</v>
      </c>
      <c r="C240" s="8" t="str">
        <f>IFERROR(INDEX(Lists!$B$5:$B$34,MATCH(B240,Lists!$A$5:$A$34,0)),"")</f>
        <v>Drew Vance</v>
      </c>
      <c r="D240" s="8" t="str">
        <f>IFERROR(INDEX(Lists!$C$5:$C$34,MATCH(B240,Lists!$A$5:$A$34,0)),"")</f>
        <v>Field Supervisor</v>
      </c>
      <c r="E240" s="9">
        <v>46287</v>
      </c>
      <c r="F240" s="10" t="str">
        <f t="shared" si="21"/>
        <v>Tue</v>
      </c>
      <c r="G240" s="7" t="s">
        <v>46</v>
      </c>
      <c r="H240" s="8" t="str">
        <f>IFERROR(INDEX(Lists!$F$5:$F$9,MATCH(G240,Lists!$E$5:$E$9,0)),"")</f>
        <v>Birchwood Midstream (fictional)</v>
      </c>
      <c r="I240" s="8" t="str">
        <f>IFERROR(INDEX(Lists!$G$5:$G$9,MATCH(G240,Lists!$E$5:$E$9,0)),"")</f>
        <v>Y</v>
      </c>
      <c r="J240" s="11">
        <v>8</v>
      </c>
      <c r="K240" s="12">
        <v>124</v>
      </c>
      <c r="L240" s="13">
        <f>IF(I240&lt;&gt;"Y","",IFERROR(INDEX(Lists!$L$5:$L$20,MATCH(D240&amp;"|"&amp;G240,Lists!$I$5:$I$20,0)),""))</f>
        <v>124</v>
      </c>
      <c r="M240" s="10" t="str">
        <f t="shared" si="22"/>
        <v>E022|20260922|P102</v>
      </c>
      <c r="N240" s="10" t="str">
        <f>IF(COUNTIFS($M$5:M240,M240)&gt;1,"DUPLICATE","")</f>
        <v/>
      </c>
      <c r="O240" s="10" t="str">
        <f t="shared" si="23"/>
        <v/>
      </c>
      <c r="P240" s="10" t="str">
        <f t="shared" si="24"/>
        <v/>
      </c>
      <c r="Q240" s="10" t="str">
        <f>IF(COUNTIF(Lists!$E$5:$E$9,G240)=0,"PROJECT?","")</f>
        <v/>
      </c>
      <c r="R240" s="10" t="str">
        <f t="shared" si="25"/>
        <v/>
      </c>
      <c r="S240" s="10" t="str">
        <f>IF(AND(I240="Y",N240="",COUNTIF(Billing_Data!$H$5:$H$319,M240)=0),"NOT BILLED","")</f>
        <v/>
      </c>
      <c r="T240" s="14">
        <f t="shared" si="26"/>
        <v>0</v>
      </c>
      <c r="U240" s="15">
        <f t="shared" si="27"/>
        <v>992</v>
      </c>
    </row>
    <row r="241" spans="1:21" x14ac:dyDescent="0.25">
      <c r="A241" s="7" t="s">
        <v>303</v>
      </c>
      <c r="B241" s="7" t="s">
        <v>295</v>
      </c>
      <c r="C241" s="8" t="str">
        <f>IFERROR(INDEX(Lists!$B$5:$B$34,MATCH(B241,Lists!$A$5:$A$34,0)),"")</f>
        <v>Drew Vance</v>
      </c>
      <c r="D241" s="8" t="str">
        <f>IFERROR(INDEX(Lists!$C$5:$C$34,MATCH(B241,Lists!$A$5:$A$34,0)),"")</f>
        <v>Field Supervisor</v>
      </c>
      <c r="E241" s="9">
        <v>46288</v>
      </c>
      <c r="F241" s="10" t="str">
        <f t="shared" si="21"/>
        <v>Wed</v>
      </c>
      <c r="G241" s="7" t="s">
        <v>46</v>
      </c>
      <c r="H241" s="8" t="str">
        <f>IFERROR(INDEX(Lists!$F$5:$F$9,MATCH(G241,Lists!$E$5:$E$9,0)),"")</f>
        <v>Birchwood Midstream (fictional)</v>
      </c>
      <c r="I241" s="8" t="str">
        <f>IFERROR(INDEX(Lists!$G$5:$G$9,MATCH(G241,Lists!$E$5:$E$9,0)),"")</f>
        <v>Y</v>
      </c>
      <c r="J241" s="11">
        <v>8</v>
      </c>
      <c r="K241" s="12">
        <v>124</v>
      </c>
      <c r="L241" s="13">
        <f>IF(I241&lt;&gt;"Y","",IFERROR(INDEX(Lists!$L$5:$L$20,MATCH(D241&amp;"|"&amp;G241,Lists!$I$5:$I$20,0)),""))</f>
        <v>124</v>
      </c>
      <c r="M241" s="10" t="str">
        <f t="shared" si="22"/>
        <v>E022|20260923|P102</v>
      </c>
      <c r="N241" s="10" t="str">
        <f>IF(COUNTIFS($M$5:M241,M241)&gt;1,"DUPLICATE","")</f>
        <v/>
      </c>
      <c r="O241" s="10" t="str">
        <f t="shared" si="23"/>
        <v/>
      </c>
      <c r="P241" s="10" t="str">
        <f t="shared" si="24"/>
        <v/>
      </c>
      <c r="Q241" s="10" t="str">
        <f>IF(COUNTIF(Lists!$E$5:$E$9,G241)=0,"PROJECT?","")</f>
        <v/>
      </c>
      <c r="R241" s="10" t="str">
        <f t="shared" si="25"/>
        <v/>
      </c>
      <c r="S241" s="10" t="str">
        <f>IF(AND(I241="Y",N241="",COUNTIF(Billing_Data!$H$5:$H$319,M241)=0),"NOT BILLED","")</f>
        <v/>
      </c>
      <c r="T241" s="14">
        <f t="shared" si="26"/>
        <v>0</v>
      </c>
      <c r="U241" s="15">
        <f t="shared" si="27"/>
        <v>992</v>
      </c>
    </row>
    <row r="242" spans="1:21" x14ac:dyDescent="0.25">
      <c r="A242" s="7" t="s">
        <v>304</v>
      </c>
      <c r="B242" s="7" t="s">
        <v>295</v>
      </c>
      <c r="C242" s="8" t="str">
        <f>IFERROR(INDEX(Lists!$B$5:$B$34,MATCH(B242,Lists!$A$5:$A$34,0)),"")</f>
        <v>Drew Vance</v>
      </c>
      <c r="D242" s="8" t="str">
        <f>IFERROR(INDEX(Lists!$C$5:$C$34,MATCH(B242,Lists!$A$5:$A$34,0)),"")</f>
        <v>Field Supervisor</v>
      </c>
      <c r="E242" s="9">
        <v>46289</v>
      </c>
      <c r="F242" s="10" t="str">
        <f t="shared" si="21"/>
        <v>Thu</v>
      </c>
      <c r="G242" s="7" t="s">
        <v>46</v>
      </c>
      <c r="H242" s="8" t="str">
        <f>IFERROR(INDEX(Lists!$F$5:$F$9,MATCH(G242,Lists!$E$5:$E$9,0)),"")</f>
        <v>Birchwood Midstream (fictional)</v>
      </c>
      <c r="I242" s="8" t="str">
        <f>IFERROR(INDEX(Lists!$G$5:$G$9,MATCH(G242,Lists!$E$5:$E$9,0)),"")</f>
        <v>Y</v>
      </c>
      <c r="J242" s="11">
        <v>8</v>
      </c>
      <c r="K242" s="12">
        <v>124</v>
      </c>
      <c r="L242" s="13">
        <f>IF(I242&lt;&gt;"Y","",IFERROR(INDEX(Lists!$L$5:$L$20,MATCH(D242&amp;"|"&amp;G242,Lists!$I$5:$I$20,0)),""))</f>
        <v>124</v>
      </c>
      <c r="M242" s="10" t="str">
        <f t="shared" si="22"/>
        <v>E022|20260924|P102</v>
      </c>
      <c r="N242" s="10" t="str">
        <f>IF(COUNTIFS($M$5:M242,M242)&gt;1,"DUPLICATE","")</f>
        <v/>
      </c>
      <c r="O242" s="10" t="str">
        <f t="shared" si="23"/>
        <v/>
      </c>
      <c r="P242" s="10" t="str">
        <f t="shared" si="24"/>
        <v/>
      </c>
      <c r="Q242" s="10" t="str">
        <f>IF(COUNTIF(Lists!$E$5:$E$9,G242)=0,"PROJECT?","")</f>
        <v/>
      </c>
      <c r="R242" s="10" t="str">
        <f t="shared" si="25"/>
        <v/>
      </c>
      <c r="S242" s="10" t="str">
        <f>IF(AND(I242="Y",N242="",COUNTIF(Billing_Data!$H$5:$H$319,M242)=0),"NOT BILLED","")</f>
        <v/>
      </c>
      <c r="T242" s="14">
        <f t="shared" si="26"/>
        <v>0</v>
      </c>
      <c r="U242" s="15">
        <f t="shared" si="27"/>
        <v>992</v>
      </c>
    </row>
    <row r="243" spans="1:21" x14ac:dyDescent="0.25">
      <c r="A243" s="7" t="s">
        <v>305</v>
      </c>
      <c r="B243" s="7" t="s">
        <v>295</v>
      </c>
      <c r="C243" s="8" t="str">
        <f>IFERROR(INDEX(Lists!$B$5:$B$34,MATCH(B243,Lists!$A$5:$A$34,0)),"")</f>
        <v>Drew Vance</v>
      </c>
      <c r="D243" s="8" t="str">
        <f>IFERROR(INDEX(Lists!$C$5:$C$34,MATCH(B243,Lists!$A$5:$A$34,0)),"")</f>
        <v>Field Supervisor</v>
      </c>
      <c r="E243" s="9">
        <v>46290</v>
      </c>
      <c r="F243" s="10" t="str">
        <f t="shared" si="21"/>
        <v>Fri</v>
      </c>
      <c r="G243" s="7" t="s">
        <v>46</v>
      </c>
      <c r="H243" s="8" t="str">
        <f>IFERROR(INDEX(Lists!$F$5:$F$9,MATCH(G243,Lists!$E$5:$E$9,0)),"")</f>
        <v>Birchwood Midstream (fictional)</v>
      </c>
      <c r="I243" s="8" t="str">
        <f>IFERROR(INDEX(Lists!$G$5:$G$9,MATCH(G243,Lists!$E$5:$E$9,0)),"")</f>
        <v>Y</v>
      </c>
      <c r="J243" s="11">
        <v>8</v>
      </c>
      <c r="K243" s="12">
        <v>124</v>
      </c>
      <c r="L243" s="13">
        <f>IF(I243&lt;&gt;"Y","",IFERROR(INDEX(Lists!$L$5:$L$20,MATCH(D243&amp;"|"&amp;G243,Lists!$I$5:$I$20,0)),""))</f>
        <v>124</v>
      </c>
      <c r="M243" s="10" t="str">
        <f t="shared" si="22"/>
        <v>E022|20260925|P102</v>
      </c>
      <c r="N243" s="10" t="str">
        <f>IF(COUNTIFS($M$5:M243,M243)&gt;1,"DUPLICATE","")</f>
        <v/>
      </c>
      <c r="O243" s="10" t="str">
        <f t="shared" si="23"/>
        <v/>
      </c>
      <c r="P243" s="10" t="str">
        <f t="shared" si="24"/>
        <v/>
      </c>
      <c r="Q243" s="10" t="str">
        <f>IF(COUNTIF(Lists!$E$5:$E$9,G243)=0,"PROJECT?","")</f>
        <v/>
      </c>
      <c r="R243" s="10" t="str">
        <f t="shared" si="25"/>
        <v/>
      </c>
      <c r="S243" s="10" t="str">
        <f>IF(AND(I243="Y",N243="",COUNTIF(Billing_Data!$H$5:$H$319,M243)=0),"NOT BILLED","")</f>
        <v/>
      </c>
      <c r="T243" s="14">
        <f t="shared" si="26"/>
        <v>0</v>
      </c>
      <c r="U243" s="15">
        <f t="shared" si="27"/>
        <v>992</v>
      </c>
    </row>
    <row r="244" spans="1:21" x14ac:dyDescent="0.25">
      <c r="A244" s="7" t="s">
        <v>306</v>
      </c>
      <c r="B244" s="7" t="s">
        <v>307</v>
      </c>
      <c r="C244" s="8" t="str">
        <f>IFERROR(INDEX(Lists!$B$5:$B$34,MATCH(B244,Lists!$A$5:$A$34,0)),"")</f>
        <v>Ellis Whitlock</v>
      </c>
      <c r="D244" s="8" t="str">
        <f>IFERROR(INDEX(Lists!$C$5:$C$34,MATCH(B244,Lists!$A$5:$A$34,0)),"")</f>
        <v>Field Supervisor</v>
      </c>
      <c r="E244" s="9">
        <v>46279</v>
      </c>
      <c r="F244" s="10" t="str">
        <f t="shared" si="21"/>
        <v>Mon</v>
      </c>
      <c r="G244" s="7" t="s">
        <v>50</v>
      </c>
      <c r="H244" s="8" t="str">
        <f>IFERROR(INDEX(Lists!$F$5:$F$9,MATCH(G244,Lists!$E$5:$E$9,0)),"")</f>
        <v>Cedar Industrial (fictional)</v>
      </c>
      <c r="I244" s="8" t="str">
        <f>IFERROR(INDEX(Lists!$G$5:$G$9,MATCH(G244,Lists!$E$5:$E$9,0)),"")</f>
        <v>Y</v>
      </c>
      <c r="J244" s="11">
        <v>8</v>
      </c>
      <c r="K244" s="12">
        <v>112</v>
      </c>
      <c r="L244" s="13">
        <f>IF(I244&lt;&gt;"Y","",IFERROR(INDEX(Lists!$L$5:$L$20,MATCH(D244&amp;"|"&amp;G244,Lists!$I$5:$I$20,0)),""))</f>
        <v>112</v>
      </c>
      <c r="M244" s="10" t="str">
        <f t="shared" si="22"/>
        <v>E023|20260914|P103</v>
      </c>
      <c r="N244" s="10" t="str">
        <f>IF(COUNTIFS($M$5:M244,M244)&gt;1,"DUPLICATE","")</f>
        <v/>
      </c>
      <c r="O244" s="10" t="str">
        <f t="shared" si="23"/>
        <v/>
      </c>
      <c r="P244" s="10" t="str">
        <f t="shared" si="24"/>
        <v/>
      </c>
      <c r="Q244" s="10" t="str">
        <f>IF(COUNTIF(Lists!$E$5:$E$9,G244)=0,"PROJECT?","")</f>
        <v/>
      </c>
      <c r="R244" s="10" t="str">
        <f t="shared" si="25"/>
        <v/>
      </c>
      <c r="S244" s="10" t="str">
        <f>IF(AND(I244="Y",N244="",COUNTIF(Billing_Data!$H$5:$H$319,M244)=0),"NOT BILLED","")</f>
        <v/>
      </c>
      <c r="T244" s="14">
        <f t="shared" si="26"/>
        <v>0</v>
      </c>
      <c r="U244" s="15">
        <f t="shared" si="27"/>
        <v>896</v>
      </c>
    </row>
    <row r="245" spans="1:21" x14ac:dyDescent="0.25">
      <c r="A245" s="7" t="s">
        <v>308</v>
      </c>
      <c r="B245" s="7" t="s">
        <v>307</v>
      </c>
      <c r="C245" s="8" t="str">
        <f>IFERROR(INDEX(Lists!$B$5:$B$34,MATCH(B245,Lists!$A$5:$A$34,0)),"")</f>
        <v>Ellis Whitlock</v>
      </c>
      <c r="D245" s="8" t="str">
        <f>IFERROR(INDEX(Lists!$C$5:$C$34,MATCH(B245,Lists!$A$5:$A$34,0)),"")</f>
        <v>Field Supervisor</v>
      </c>
      <c r="E245" s="9">
        <v>46280</v>
      </c>
      <c r="F245" s="10" t="str">
        <f t="shared" si="21"/>
        <v>Tue</v>
      </c>
      <c r="G245" s="7" t="s">
        <v>50</v>
      </c>
      <c r="H245" s="8" t="str">
        <f>IFERROR(INDEX(Lists!$F$5:$F$9,MATCH(G245,Lists!$E$5:$E$9,0)),"")</f>
        <v>Cedar Industrial (fictional)</v>
      </c>
      <c r="I245" s="8" t="str">
        <f>IFERROR(INDEX(Lists!$G$5:$G$9,MATCH(G245,Lists!$E$5:$E$9,0)),"")</f>
        <v>Y</v>
      </c>
      <c r="J245" s="11">
        <v>8</v>
      </c>
      <c r="K245" s="12">
        <v>112</v>
      </c>
      <c r="L245" s="13">
        <f>IF(I245&lt;&gt;"Y","",IFERROR(INDEX(Lists!$L$5:$L$20,MATCH(D245&amp;"|"&amp;G245,Lists!$I$5:$I$20,0)),""))</f>
        <v>112</v>
      </c>
      <c r="M245" s="10" t="str">
        <f t="shared" si="22"/>
        <v>E023|20260915|P103</v>
      </c>
      <c r="N245" s="10" t="str">
        <f>IF(COUNTIFS($M$5:M245,M245)&gt;1,"DUPLICATE","")</f>
        <v/>
      </c>
      <c r="O245" s="10" t="str">
        <f t="shared" si="23"/>
        <v/>
      </c>
      <c r="P245" s="10" t="str">
        <f t="shared" si="24"/>
        <v/>
      </c>
      <c r="Q245" s="10" t="str">
        <f>IF(COUNTIF(Lists!$E$5:$E$9,G245)=0,"PROJECT?","")</f>
        <v/>
      </c>
      <c r="R245" s="10" t="str">
        <f t="shared" si="25"/>
        <v/>
      </c>
      <c r="S245" s="10" t="str">
        <f>IF(AND(I245="Y",N245="",COUNTIF(Billing_Data!$H$5:$H$319,M245)=0),"NOT BILLED","")</f>
        <v/>
      </c>
      <c r="T245" s="14">
        <f t="shared" si="26"/>
        <v>0</v>
      </c>
      <c r="U245" s="15">
        <f t="shared" si="27"/>
        <v>896</v>
      </c>
    </row>
    <row r="246" spans="1:21" x14ac:dyDescent="0.25">
      <c r="A246" s="7" t="s">
        <v>309</v>
      </c>
      <c r="B246" s="7" t="s">
        <v>307</v>
      </c>
      <c r="C246" s="8" t="str">
        <f>IFERROR(INDEX(Lists!$B$5:$B$34,MATCH(B246,Lists!$A$5:$A$34,0)),"")</f>
        <v>Ellis Whitlock</v>
      </c>
      <c r="D246" s="8" t="str">
        <f>IFERROR(INDEX(Lists!$C$5:$C$34,MATCH(B246,Lists!$A$5:$A$34,0)),"")</f>
        <v>Field Supervisor</v>
      </c>
      <c r="E246" s="9">
        <v>46281</v>
      </c>
      <c r="F246" s="10" t="str">
        <f t="shared" si="21"/>
        <v>Wed</v>
      </c>
      <c r="G246" s="7" t="s">
        <v>50</v>
      </c>
      <c r="H246" s="8" t="str">
        <f>IFERROR(INDEX(Lists!$F$5:$F$9,MATCH(G246,Lists!$E$5:$E$9,0)),"")</f>
        <v>Cedar Industrial (fictional)</v>
      </c>
      <c r="I246" s="8" t="str">
        <f>IFERROR(INDEX(Lists!$G$5:$G$9,MATCH(G246,Lists!$E$5:$E$9,0)),"")</f>
        <v>Y</v>
      </c>
      <c r="J246" s="11">
        <v>8</v>
      </c>
      <c r="K246" s="12">
        <v>112</v>
      </c>
      <c r="L246" s="13">
        <f>IF(I246&lt;&gt;"Y","",IFERROR(INDEX(Lists!$L$5:$L$20,MATCH(D246&amp;"|"&amp;G246,Lists!$I$5:$I$20,0)),""))</f>
        <v>112</v>
      </c>
      <c r="M246" s="10" t="str">
        <f t="shared" si="22"/>
        <v>E023|20260916|P103</v>
      </c>
      <c r="N246" s="10" t="str">
        <f>IF(COUNTIFS($M$5:M246,M246)&gt;1,"DUPLICATE","")</f>
        <v/>
      </c>
      <c r="O246" s="10" t="str">
        <f t="shared" si="23"/>
        <v/>
      </c>
      <c r="P246" s="10" t="str">
        <f t="shared" si="24"/>
        <v/>
      </c>
      <c r="Q246" s="10" t="str">
        <f>IF(COUNTIF(Lists!$E$5:$E$9,G246)=0,"PROJECT?","")</f>
        <v/>
      </c>
      <c r="R246" s="10" t="str">
        <f t="shared" si="25"/>
        <v/>
      </c>
      <c r="S246" s="10" t="str">
        <f>IF(AND(I246="Y",N246="",COUNTIF(Billing_Data!$H$5:$H$319,M246)=0),"NOT BILLED","")</f>
        <v/>
      </c>
      <c r="T246" s="14">
        <f t="shared" si="26"/>
        <v>0</v>
      </c>
      <c r="U246" s="15">
        <f t="shared" si="27"/>
        <v>896</v>
      </c>
    </row>
    <row r="247" spans="1:21" x14ac:dyDescent="0.25">
      <c r="A247" s="7" t="s">
        <v>310</v>
      </c>
      <c r="B247" s="7" t="s">
        <v>307</v>
      </c>
      <c r="C247" s="8" t="str">
        <f>IFERROR(INDEX(Lists!$B$5:$B$34,MATCH(B247,Lists!$A$5:$A$34,0)),"")</f>
        <v>Ellis Whitlock</v>
      </c>
      <c r="D247" s="8" t="str">
        <f>IFERROR(INDEX(Lists!$C$5:$C$34,MATCH(B247,Lists!$A$5:$A$34,0)),"")</f>
        <v>Field Supervisor</v>
      </c>
      <c r="E247" s="9">
        <v>46282</v>
      </c>
      <c r="F247" s="10" t="str">
        <f t="shared" si="21"/>
        <v>Thu</v>
      </c>
      <c r="G247" s="7" t="s">
        <v>50</v>
      </c>
      <c r="H247" s="8" t="str">
        <f>IFERROR(INDEX(Lists!$F$5:$F$9,MATCH(G247,Lists!$E$5:$E$9,0)),"")</f>
        <v>Cedar Industrial (fictional)</v>
      </c>
      <c r="I247" s="8" t="str">
        <f>IFERROR(INDEX(Lists!$G$5:$G$9,MATCH(G247,Lists!$E$5:$E$9,0)),"")</f>
        <v>Y</v>
      </c>
      <c r="J247" s="11">
        <v>8</v>
      </c>
      <c r="K247" s="12">
        <v>112</v>
      </c>
      <c r="L247" s="13">
        <f>IF(I247&lt;&gt;"Y","",IFERROR(INDEX(Lists!$L$5:$L$20,MATCH(D247&amp;"|"&amp;G247,Lists!$I$5:$I$20,0)),""))</f>
        <v>112</v>
      </c>
      <c r="M247" s="10" t="str">
        <f t="shared" si="22"/>
        <v>E023|20260917|P103</v>
      </c>
      <c r="N247" s="10" t="str">
        <f>IF(COUNTIFS($M$5:M247,M247)&gt;1,"DUPLICATE","")</f>
        <v/>
      </c>
      <c r="O247" s="10" t="str">
        <f t="shared" si="23"/>
        <v/>
      </c>
      <c r="P247" s="10" t="str">
        <f t="shared" si="24"/>
        <v/>
      </c>
      <c r="Q247" s="10" t="str">
        <f>IF(COUNTIF(Lists!$E$5:$E$9,G247)=0,"PROJECT?","")</f>
        <v/>
      </c>
      <c r="R247" s="10" t="str">
        <f t="shared" si="25"/>
        <v/>
      </c>
      <c r="S247" s="10" t="str">
        <f>IF(AND(I247="Y",N247="",COUNTIF(Billing_Data!$H$5:$H$319,M247)=0),"NOT BILLED","")</f>
        <v/>
      </c>
      <c r="T247" s="14">
        <f t="shared" si="26"/>
        <v>0</v>
      </c>
      <c r="U247" s="15">
        <f t="shared" si="27"/>
        <v>896</v>
      </c>
    </row>
    <row r="248" spans="1:21" x14ac:dyDescent="0.25">
      <c r="A248" s="7" t="s">
        <v>311</v>
      </c>
      <c r="B248" s="7" t="s">
        <v>307</v>
      </c>
      <c r="C248" s="8" t="str">
        <f>IFERROR(INDEX(Lists!$B$5:$B$34,MATCH(B248,Lists!$A$5:$A$34,0)),"")</f>
        <v>Ellis Whitlock</v>
      </c>
      <c r="D248" s="8" t="str">
        <f>IFERROR(INDEX(Lists!$C$5:$C$34,MATCH(B248,Lists!$A$5:$A$34,0)),"")</f>
        <v>Field Supervisor</v>
      </c>
      <c r="E248" s="9">
        <v>46283</v>
      </c>
      <c r="F248" s="10" t="str">
        <f t="shared" si="21"/>
        <v>Fri</v>
      </c>
      <c r="G248" s="7" t="s">
        <v>50</v>
      </c>
      <c r="H248" s="8" t="str">
        <f>IFERROR(INDEX(Lists!$F$5:$F$9,MATCH(G248,Lists!$E$5:$E$9,0)),"")</f>
        <v>Cedar Industrial (fictional)</v>
      </c>
      <c r="I248" s="8" t="str">
        <f>IFERROR(INDEX(Lists!$G$5:$G$9,MATCH(G248,Lists!$E$5:$E$9,0)),"")</f>
        <v>Y</v>
      </c>
      <c r="J248" s="11">
        <v>8</v>
      </c>
      <c r="K248" s="12">
        <v>112</v>
      </c>
      <c r="L248" s="13">
        <f>IF(I248&lt;&gt;"Y","",IFERROR(INDEX(Lists!$L$5:$L$20,MATCH(D248&amp;"|"&amp;G248,Lists!$I$5:$I$20,0)),""))</f>
        <v>112</v>
      </c>
      <c r="M248" s="10" t="str">
        <f t="shared" si="22"/>
        <v>E023|20260918|P103</v>
      </c>
      <c r="N248" s="10" t="str">
        <f>IF(COUNTIFS($M$5:M248,M248)&gt;1,"DUPLICATE","")</f>
        <v/>
      </c>
      <c r="O248" s="10" t="str">
        <f t="shared" si="23"/>
        <v/>
      </c>
      <c r="P248" s="10" t="str">
        <f t="shared" si="24"/>
        <v/>
      </c>
      <c r="Q248" s="10" t="str">
        <f>IF(COUNTIF(Lists!$E$5:$E$9,G248)=0,"PROJECT?","")</f>
        <v/>
      </c>
      <c r="R248" s="10" t="str">
        <f t="shared" si="25"/>
        <v/>
      </c>
      <c r="S248" s="10" t="str">
        <f>IF(AND(I248="Y",N248="",COUNTIF(Billing_Data!$H$5:$H$319,M248)=0),"NOT BILLED","")</f>
        <v/>
      </c>
      <c r="T248" s="14">
        <f t="shared" si="26"/>
        <v>0</v>
      </c>
      <c r="U248" s="15">
        <f t="shared" si="27"/>
        <v>896</v>
      </c>
    </row>
    <row r="249" spans="1:21" x14ac:dyDescent="0.25">
      <c r="A249" s="7" t="s">
        <v>312</v>
      </c>
      <c r="B249" s="7" t="s">
        <v>307</v>
      </c>
      <c r="C249" s="8" t="str">
        <f>IFERROR(INDEX(Lists!$B$5:$B$34,MATCH(B249,Lists!$A$5:$A$34,0)),"")</f>
        <v>Ellis Whitlock</v>
      </c>
      <c r="D249" s="8" t="str">
        <f>IFERROR(INDEX(Lists!$C$5:$C$34,MATCH(B249,Lists!$A$5:$A$34,0)),"")</f>
        <v>Field Supervisor</v>
      </c>
      <c r="E249" s="9">
        <v>46286</v>
      </c>
      <c r="F249" s="10" t="str">
        <f t="shared" si="21"/>
        <v>Mon</v>
      </c>
      <c r="G249" s="7" t="s">
        <v>50</v>
      </c>
      <c r="H249" s="8" t="str">
        <f>IFERROR(INDEX(Lists!$F$5:$F$9,MATCH(G249,Lists!$E$5:$E$9,0)),"")</f>
        <v>Cedar Industrial (fictional)</v>
      </c>
      <c r="I249" s="8" t="str">
        <f>IFERROR(INDEX(Lists!$G$5:$G$9,MATCH(G249,Lists!$E$5:$E$9,0)),"")</f>
        <v>Y</v>
      </c>
      <c r="J249" s="11">
        <v>8</v>
      </c>
      <c r="K249" s="12">
        <v>112</v>
      </c>
      <c r="L249" s="13">
        <f>IF(I249&lt;&gt;"Y","",IFERROR(INDEX(Lists!$L$5:$L$20,MATCH(D249&amp;"|"&amp;G249,Lists!$I$5:$I$20,0)),""))</f>
        <v>112</v>
      </c>
      <c r="M249" s="10" t="str">
        <f t="shared" si="22"/>
        <v>E023|20260921|P103</v>
      </c>
      <c r="N249" s="10" t="str">
        <f>IF(COUNTIFS($M$5:M249,M249)&gt;1,"DUPLICATE","")</f>
        <v/>
      </c>
      <c r="O249" s="10" t="str">
        <f t="shared" si="23"/>
        <v/>
      </c>
      <c r="P249" s="10" t="str">
        <f t="shared" si="24"/>
        <v/>
      </c>
      <c r="Q249" s="10" t="str">
        <f>IF(COUNTIF(Lists!$E$5:$E$9,G249)=0,"PROJECT?","")</f>
        <v/>
      </c>
      <c r="R249" s="10" t="str">
        <f t="shared" si="25"/>
        <v/>
      </c>
      <c r="S249" s="10" t="str">
        <f>IF(AND(I249="Y",N249="",COUNTIF(Billing_Data!$H$5:$H$319,M249)=0),"NOT BILLED","")</f>
        <v/>
      </c>
      <c r="T249" s="14">
        <f t="shared" si="26"/>
        <v>0</v>
      </c>
      <c r="U249" s="15">
        <f t="shared" si="27"/>
        <v>896</v>
      </c>
    </row>
    <row r="250" spans="1:21" x14ac:dyDescent="0.25">
      <c r="A250" s="7" t="s">
        <v>313</v>
      </c>
      <c r="B250" s="7" t="s">
        <v>307</v>
      </c>
      <c r="C250" s="8" t="str">
        <f>IFERROR(INDEX(Lists!$B$5:$B$34,MATCH(B250,Lists!$A$5:$A$34,0)),"")</f>
        <v>Ellis Whitlock</v>
      </c>
      <c r="D250" s="8" t="str">
        <f>IFERROR(INDEX(Lists!$C$5:$C$34,MATCH(B250,Lists!$A$5:$A$34,0)),"")</f>
        <v>Field Supervisor</v>
      </c>
      <c r="E250" s="9">
        <v>46287</v>
      </c>
      <c r="F250" s="10" t="str">
        <f t="shared" si="21"/>
        <v>Tue</v>
      </c>
      <c r="G250" s="7" t="s">
        <v>50</v>
      </c>
      <c r="H250" s="8" t="str">
        <f>IFERROR(INDEX(Lists!$F$5:$F$9,MATCH(G250,Lists!$E$5:$E$9,0)),"")</f>
        <v>Cedar Industrial (fictional)</v>
      </c>
      <c r="I250" s="8" t="str">
        <f>IFERROR(INDEX(Lists!$G$5:$G$9,MATCH(G250,Lists!$E$5:$E$9,0)),"")</f>
        <v>Y</v>
      </c>
      <c r="J250" s="11">
        <v>8</v>
      </c>
      <c r="K250" s="12">
        <v>112</v>
      </c>
      <c r="L250" s="13">
        <f>IF(I250&lt;&gt;"Y","",IFERROR(INDEX(Lists!$L$5:$L$20,MATCH(D250&amp;"|"&amp;G250,Lists!$I$5:$I$20,0)),""))</f>
        <v>112</v>
      </c>
      <c r="M250" s="10" t="str">
        <f t="shared" si="22"/>
        <v>E023|20260922|P103</v>
      </c>
      <c r="N250" s="10" t="str">
        <f>IF(COUNTIFS($M$5:M250,M250)&gt;1,"DUPLICATE","")</f>
        <v/>
      </c>
      <c r="O250" s="10" t="str">
        <f t="shared" si="23"/>
        <v/>
      </c>
      <c r="P250" s="10" t="str">
        <f t="shared" si="24"/>
        <v/>
      </c>
      <c r="Q250" s="10" t="str">
        <f>IF(COUNTIF(Lists!$E$5:$E$9,G250)=0,"PROJECT?","")</f>
        <v/>
      </c>
      <c r="R250" s="10" t="str">
        <f t="shared" si="25"/>
        <v/>
      </c>
      <c r="S250" s="10" t="str">
        <f>IF(AND(I250="Y",N250="",COUNTIF(Billing_Data!$H$5:$H$319,M250)=0),"NOT BILLED","")</f>
        <v/>
      </c>
      <c r="T250" s="14">
        <f t="shared" si="26"/>
        <v>0</v>
      </c>
      <c r="U250" s="15">
        <f t="shared" si="27"/>
        <v>896</v>
      </c>
    </row>
    <row r="251" spans="1:21" x14ac:dyDescent="0.25">
      <c r="A251" s="7" t="s">
        <v>314</v>
      </c>
      <c r="B251" s="7" t="s">
        <v>307</v>
      </c>
      <c r="C251" s="8" t="str">
        <f>IFERROR(INDEX(Lists!$B$5:$B$34,MATCH(B251,Lists!$A$5:$A$34,0)),"")</f>
        <v>Ellis Whitlock</v>
      </c>
      <c r="D251" s="8" t="str">
        <f>IFERROR(INDEX(Lists!$C$5:$C$34,MATCH(B251,Lists!$A$5:$A$34,0)),"")</f>
        <v>Field Supervisor</v>
      </c>
      <c r="E251" s="9">
        <v>46288</v>
      </c>
      <c r="F251" s="10" t="str">
        <f t="shared" si="21"/>
        <v>Wed</v>
      </c>
      <c r="G251" s="7" t="s">
        <v>50</v>
      </c>
      <c r="H251" s="8" t="str">
        <f>IFERROR(INDEX(Lists!$F$5:$F$9,MATCH(G251,Lists!$E$5:$E$9,0)),"")</f>
        <v>Cedar Industrial (fictional)</v>
      </c>
      <c r="I251" s="8" t="str">
        <f>IFERROR(INDEX(Lists!$G$5:$G$9,MATCH(G251,Lists!$E$5:$E$9,0)),"")</f>
        <v>Y</v>
      </c>
      <c r="J251" s="11">
        <v>8</v>
      </c>
      <c r="K251" s="12">
        <v>112</v>
      </c>
      <c r="L251" s="13">
        <f>IF(I251&lt;&gt;"Y","",IFERROR(INDEX(Lists!$L$5:$L$20,MATCH(D251&amp;"|"&amp;G251,Lists!$I$5:$I$20,0)),""))</f>
        <v>112</v>
      </c>
      <c r="M251" s="10" t="str">
        <f t="shared" si="22"/>
        <v>E023|20260923|P103</v>
      </c>
      <c r="N251" s="10" t="str">
        <f>IF(COUNTIFS($M$5:M251,M251)&gt;1,"DUPLICATE","")</f>
        <v/>
      </c>
      <c r="O251" s="10" t="str">
        <f t="shared" si="23"/>
        <v/>
      </c>
      <c r="P251" s="10" t="str">
        <f t="shared" si="24"/>
        <v/>
      </c>
      <c r="Q251" s="10" t="str">
        <f>IF(COUNTIF(Lists!$E$5:$E$9,G251)=0,"PROJECT?","")</f>
        <v/>
      </c>
      <c r="R251" s="10" t="str">
        <f t="shared" si="25"/>
        <v/>
      </c>
      <c r="S251" s="10" t="str">
        <f>IF(AND(I251="Y",N251="",COUNTIF(Billing_Data!$H$5:$H$319,M251)=0),"NOT BILLED","")</f>
        <v/>
      </c>
      <c r="T251" s="14">
        <f t="shared" si="26"/>
        <v>0</v>
      </c>
      <c r="U251" s="15">
        <f t="shared" si="27"/>
        <v>896</v>
      </c>
    </row>
    <row r="252" spans="1:21" x14ac:dyDescent="0.25">
      <c r="A252" s="7" t="s">
        <v>315</v>
      </c>
      <c r="B252" s="7" t="s">
        <v>307</v>
      </c>
      <c r="C252" s="8" t="str">
        <f>IFERROR(INDEX(Lists!$B$5:$B$34,MATCH(B252,Lists!$A$5:$A$34,0)),"")</f>
        <v>Ellis Whitlock</v>
      </c>
      <c r="D252" s="8" t="str">
        <f>IFERROR(INDEX(Lists!$C$5:$C$34,MATCH(B252,Lists!$A$5:$A$34,0)),"")</f>
        <v>Field Supervisor</v>
      </c>
      <c r="E252" s="9">
        <v>46290</v>
      </c>
      <c r="F252" s="10" t="str">
        <f t="shared" si="21"/>
        <v>Fri</v>
      </c>
      <c r="G252" s="7" t="s">
        <v>50</v>
      </c>
      <c r="H252" s="8" t="str">
        <f>IFERROR(INDEX(Lists!$F$5:$F$9,MATCH(G252,Lists!$E$5:$E$9,0)),"")</f>
        <v>Cedar Industrial (fictional)</v>
      </c>
      <c r="I252" s="8" t="str">
        <f>IFERROR(INDEX(Lists!$G$5:$G$9,MATCH(G252,Lists!$E$5:$E$9,0)),"")</f>
        <v>Y</v>
      </c>
      <c r="J252" s="11">
        <v>8</v>
      </c>
      <c r="K252" s="12">
        <v>112</v>
      </c>
      <c r="L252" s="13">
        <f>IF(I252&lt;&gt;"Y","",IFERROR(INDEX(Lists!$L$5:$L$20,MATCH(D252&amp;"|"&amp;G252,Lists!$I$5:$I$20,0)),""))</f>
        <v>112</v>
      </c>
      <c r="M252" s="10" t="str">
        <f t="shared" si="22"/>
        <v>E023|20260925|P103</v>
      </c>
      <c r="N252" s="10" t="str">
        <f>IF(COUNTIFS($M$5:M252,M252)&gt;1,"DUPLICATE","")</f>
        <v/>
      </c>
      <c r="O252" s="10" t="str">
        <f t="shared" si="23"/>
        <v/>
      </c>
      <c r="P252" s="10" t="str">
        <f t="shared" si="24"/>
        <v/>
      </c>
      <c r="Q252" s="10" t="str">
        <f>IF(COUNTIF(Lists!$E$5:$E$9,G252)=0,"PROJECT?","")</f>
        <v/>
      </c>
      <c r="R252" s="10" t="str">
        <f t="shared" si="25"/>
        <v/>
      </c>
      <c r="S252" s="10" t="str">
        <f>IF(AND(I252="Y",N252="",COUNTIF(Billing_Data!$H$5:$H$319,M252)=0),"NOT BILLED","")</f>
        <v/>
      </c>
      <c r="T252" s="14">
        <f t="shared" si="26"/>
        <v>0</v>
      </c>
      <c r="U252" s="15">
        <f t="shared" si="27"/>
        <v>896</v>
      </c>
    </row>
    <row r="253" spans="1:21" x14ac:dyDescent="0.25">
      <c r="A253" s="7" t="s">
        <v>316</v>
      </c>
      <c r="B253" s="7" t="s">
        <v>317</v>
      </c>
      <c r="C253" s="8" t="str">
        <f>IFERROR(INDEX(Lists!$B$5:$B$34,MATCH(B253,Lists!$A$5:$A$34,0)),"")</f>
        <v>Hayden Yardley</v>
      </c>
      <c r="D253" s="8" t="str">
        <f>IFERROR(INDEX(Lists!$C$5:$C$34,MATCH(B253,Lists!$A$5:$A$34,0)),"")</f>
        <v>Field Supervisor</v>
      </c>
      <c r="E253" s="9">
        <v>46279</v>
      </c>
      <c r="F253" s="10" t="str">
        <f t="shared" si="21"/>
        <v>Mon</v>
      </c>
      <c r="G253" s="7" t="s">
        <v>74</v>
      </c>
      <c r="H253" s="8" t="str">
        <f>IFERROR(INDEX(Lists!$F$5:$F$9,MATCH(G253,Lists!$E$5:$E$9,0)),"")</f>
        <v>Delta Environmental (fictional)</v>
      </c>
      <c r="I253" s="8" t="str">
        <f>IFERROR(INDEX(Lists!$G$5:$G$9,MATCH(G253,Lists!$E$5:$E$9,0)),"")</f>
        <v>Y</v>
      </c>
      <c r="J253" s="11">
        <v>8</v>
      </c>
      <c r="K253" s="12">
        <v>130</v>
      </c>
      <c r="L253" s="13">
        <f>IF(I253&lt;&gt;"Y","",IFERROR(INDEX(Lists!$L$5:$L$20,MATCH(D253&amp;"|"&amp;G253,Lists!$I$5:$I$20,0)),""))</f>
        <v>130</v>
      </c>
      <c r="M253" s="10" t="str">
        <f t="shared" si="22"/>
        <v>E024|20260914|P104</v>
      </c>
      <c r="N253" s="10" t="str">
        <f>IF(COUNTIFS($M$5:M253,M253)&gt;1,"DUPLICATE","")</f>
        <v/>
      </c>
      <c r="O253" s="10" t="str">
        <f t="shared" si="23"/>
        <v/>
      </c>
      <c r="P253" s="10" t="str">
        <f t="shared" si="24"/>
        <v/>
      </c>
      <c r="Q253" s="10" t="str">
        <f>IF(COUNTIF(Lists!$E$5:$E$9,G253)=0,"PROJECT?","")</f>
        <v/>
      </c>
      <c r="R253" s="10" t="str">
        <f t="shared" si="25"/>
        <v/>
      </c>
      <c r="S253" s="10" t="str">
        <f>IF(AND(I253="Y",N253="",COUNTIF(Billing_Data!$H$5:$H$319,M253)=0),"NOT BILLED","")</f>
        <v/>
      </c>
      <c r="T253" s="14">
        <f t="shared" si="26"/>
        <v>0</v>
      </c>
      <c r="U253" s="15">
        <f t="shared" si="27"/>
        <v>1040</v>
      </c>
    </row>
    <row r="254" spans="1:21" x14ac:dyDescent="0.25">
      <c r="A254" s="7" t="s">
        <v>318</v>
      </c>
      <c r="B254" s="7" t="s">
        <v>317</v>
      </c>
      <c r="C254" s="8" t="str">
        <f>IFERROR(INDEX(Lists!$B$5:$B$34,MATCH(B254,Lists!$A$5:$A$34,0)),"")</f>
        <v>Hayden Yardley</v>
      </c>
      <c r="D254" s="8" t="str">
        <f>IFERROR(INDEX(Lists!$C$5:$C$34,MATCH(B254,Lists!$A$5:$A$34,0)),"")</f>
        <v>Field Supervisor</v>
      </c>
      <c r="E254" s="9">
        <v>46280</v>
      </c>
      <c r="F254" s="10" t="str">
        <f t="shared" si="21"/>
        <v>Tue</v>
      </c>
      <c r="G254" s="7" t="s">
        <v>74</v>
      </c>
      <c r="H254" s="8" t="str">
        <f>IFERROR(INDEX(Lists!$F$5:$F$9,MATCH(G254,Lists!$E$5:$E$9,0)),"")</f>
        <v>Delta Environmental (fictional)</v>
      </c>
      <c r="I254" s="8" t="str">
        <f>IFERROR(INDEX(Lists!$G$5:$G$9,MATCH(G254,Lists!$E$5:$E$9,0)),"")</f>
        <v>Y</v>
      </c>
      <c r="J254" s="11">
        <v>8</v>
      </c>
      <c r="K254" s="12">
        <v>130</v>
      </c>
      <c r="L254" s="13">
        <f>IF(I254&lt;&gt;"Y","",IFERROR(INDEX(Lists!$L$5:$L$20,MATCH(D254&amp;"|"&amp;G254,Lists!$I$5:$I$20,0)),""))</f>
        <v>130</v>
      </c>
      <c r="M254" s="10" t="str">
        <f t="shared" si="22"/>
        <v>E024|20260915|P104</v>
      </c>
      <c r="N254" s="10" t="str">
        <f>IF(COUNTIFS($M$5:M254,M254)&gt;1,"DUPLICATE","")</f>
        <v/>
      </c>
      <c r="O254" s="10" t="str">
        <f t="shared" si="23"/>
        <v/>
      </c>
      <c r="P254" s="10" t="str">
        <f t="shared" si="24"/>
        <v/>
      </c>
      <c r="Q254" s="10" t="str">
        <f>IF(COUNTIF(Lists!$E$5:$E$9,G254)=0,"PROJECT?","")</f>
        <v/>
      </c>
      <c r="R254" s="10" t="str">
        <f t="shared" si="25"/>
        <v/>
      </c>
      <c r="S254" s="10" t="str">
        <f>IF(AND(I254="Y",N254="",COUNTIF(Billing_Data!$H$5:$H$319,M254)=0),"NOT BILLED","")</f>
        <v/>
      </c>
      <c r="T254" s="14">
        <f t="shared" si="26"/>
        <v>0</v>
      </c>
      <c r="U254" s="15">
        <f t="shared" si="27"/>
        <v>1040</v>
      </c>
    </row>
    <row r="255" spans="1:21" x14ac:dyDescent="0.25">
      <c r="A255" s="7" t="s">
        <v>319</v>
      </c>
      <c r="B255" s="7" t="s">
        <v>317</v>
      </c>
      <c r="C255" s="8" t="str">
        <f>IFERROR(INDEX(Lists!$B$5:$B$34,MATCH(B255,Lists!$A$5:$A$34,0)),"")</f>
        <v>Hayden Yardley</v>
      </c>
      <c r="D255" s="8" t="str">
        <f>IFERROR(INDEX(Lists!$C$5:$C$34,MATCH(B255,Lists!$A$5:$A$34,0)),"")</f>
        <v>Field Supervisor</v>
      </c>
      <c r="E255" s="9">
        <v>46281</v>
      </c>
      <c r="F255" s="10" t="str">
        <f t="shared" si="21"/>
        <v>Wed</v>
      </c>
      <c r="G255" s="7" t="s">
        <v>74</v>
      </c>
      <c r="H255" s="8" t="str">
        <f>IFERROR(INDEX(Lists!$F$5:$F$9,MATCH(G255,Lists!$E$5:$E$9,0)),"")</f>
        <v>Delta Environmental (fictional)</v>
      </c>
      <c r="I255" s="8" t="str">
        <f>IFERROR(INDEX(Lists!$G$5:$G$9,MATCH(G255,Lists!$E$5:$E$9,0)),"")</f>
        <v>Y</v>
      </c>
      <c r="J255" s="11">
        <v>8</v>
      </c>
      <c r="K255" s="12">
        <v>130</v>
      </c>
      <c r="L255" s="13">
        <f>IF(I255&lt;&gt;"Y","",IFERROR(INDEX(Lists!$L$5:$L$20,MATCH(D255&amp;"|"&amp;G255,Lists!$I$5:$I$20,0)),""))</f>
        <v>130</v>
      </c>
      <c r="M255" s="10" t="str">
        <f t="shared" si="22"/>
        <v>E024|20260916|P104</v>
      </c>
      <c r="N255" s="10" t="str">
        <f>IF(COUNTIFS($M$5:M255,M255)&gt;1,"DUPLICATE","")</f>
        <v/>
      </c>
      <c r="O255" s="10" t="str">
        <f t="shared" si="23"/>
        <v/>
      </c>
      <c r="P255" s="10" t="str">
        <f t="shared" si="24"/>
        <v/>
      </c>
      <c r="Q255" s="10" t="str">
        <f>IF(COUNTIF(Lists!$E$5:$E$9,G255)=0,"PROJECT?","")</f>
        <v/>
      </c>
      <c r="R255" s="10" t="str">
        <f t="shared" si="25"/>
        <v/>
      </c>
      <c r="S255" s="10" t="str">
        <f>IF(AND(I255="Y",N255="",COUNTIF(Billing_Data!$H$5:$H$319,M255)=0),"NOT BILLED","")</f>
        <v/>
      </c>
      <c r="T255" s="14">
        <f t="shared" si="26"/>
        <v>0</v>
      </c>
      <c r="U255" s="15">
        <f t="shared" si="27"/>
        <v>1040</v>
      </c>
    </row>
    <row r="256" spans="1:21" x14ac:dyDescent="0.25">
      <c r="A256" s="7" t="s">
        <v>320</v>
      </c>
      <c r="B256" s="7" t="s">
        <v>317</v>
      </c>
      <c r="C256" s="8" t="str">
        <f>IFERROR(INDEX(Lists!$B$5:$B$34,MATCH(B256,Lists!$A$5:$A$34,0)),"")</f>
        <v>Hayden Yardley</v>
      </c>
      <c r="D256" s="8" t="str">
        <f>IFERROR(INDEX(Lists!$C$5:$C$34,MATCH(B256,Lists!$A$5:$A$34,0)),"")</f>
        <v>Field Supervisor</v>
      </c>
      <c r="E256" s="9">
        <v>46282</v>
      </c>
      <c r="F256" s="10" t="str">
        <f t="shared" si="21"/>
        <v>Thu</v>
      </c>
      <c r="G256" s="7" t="s">
        <v>74</v>
      </c>
      <c r="H256" s="8" t="str">
        <f>IFERROR(INDEX(Lists!$F$5:$F$9,MATCH(G256,Lists!$E$5:$E$9,0)),"")</f>
        <v>Delta Environmental (fictional)</v>
      </c>
      <c r="I256" s="8" t="str">
        <f>IFERROR(INDEX(Lists!$G$5:$G$9,MATCH(G256,Lists!$E$5:$E$9,0)),"")</f>
        <v>Y</v>
      </c>
      <c r="J256" s="11">
        <v>8</v>
      </c>
      <c r="K256" s="12">
        <v>130</v>
      </c>
      <c r="L256" s="13">
        <f>IF(I256&lt;&gt;"Y","",IFERROR(INDEX(Lists!$L$5:$L$20,MATCH(D256&amp;"|"&amp;G256,Lists!$I$5:$I$20,0)),""))</f>
        <v>130</v>
      </c>
      <c r="M256" s="10" t="str">
        <f t="shared" si="22"/>
        <v>E024|20260917|P104</v>
      </c>
      <c r="N256" s="10" t="str">
        <f>IF(COUNTIFS($M$5:M256,M256)&gt;1,"DUPLICATE","")</f>
        <v/>
      </c>
      <c r="O256" s="10" t="str">
        <f t="shared" si="23"/>
        <v/>
      </c>
      <c r="P256" s="10" t="str">
        <f t="shared" si="24"/>
        <v/>
      </c>
      <c r="Q256" s="10" t="str">
        <f>IF(COUNTIF(Lists!$E$5:$E$9,G256)=0,"PROJECT?","")</f>
        <v/>
      </c>
      <c r="R256" s="10" t="str">
        <f t="shared" si="25"/>
        <v/>
      </c>
      <c r="S256" s="10" t="str">
        <f>IF(AND(I256="Y",N256="",COUNTIF(Billing_Data!$H$5:$H$319,M256)=0),"NOT BILLED","")</f>
        <v/>
      </c>
      <c r="T256" s="14">
        <f t="shared" si="26"/>
        <v>0</v>
      </c>
      <c r="U256" s="15">
        <f t="shared" si="27"/>
        <v>1040</v>
      </c>
    </row>
    <row r="257" spans="1:21" x14ac:dyDescent="0.25">
      <c r="A257" s="7" t="s">
        <v>321</v>
      </c>
      <c r="B257" s="7" t="s">
        <v>317</v>
      </c>
      <c r="C257" s="8" t="str">
        <f>IFERROR(INDEX(Lists!$B$5:$B$34,MATCH(B257,Lists!$A$5:$A$34,0)),"")</f>
        <v>Hayden Yardley</v>
      </c>
      <c r="D257" s="8" t="str">
        <f>IFERROR(INDEX(Lists!$C$5:$C$34,MATCH(B257,Lists!$A$5:$A$34,0)),"")</f>
        <v>Field Supervisor</v>
      </c>
      <c r="E257" s="9">
        <v>46283</v>
      </c>
      <c r="F257" s="10" t="str">
        <f t="shared" si="21"/>
        <v>Fri</v>
      </c>
      <c r="G257" s="7" t="s">
        <v>74</v>
      </c>
      <c r="H257" s="8" t="str">
        <f>IFERROR(INDEX(Lists!$F$5:$F$9,MATCH(G257,Lists!$E$5:$E$9,0)),"")</f>
        <v>Delta Environmental (fictional)</v>
      </c>
      <c r="I257" s="8" t="str">
        <f>IFERROR(INDEX(Lists!$G$5:$G$9,MATCH(G257,Lists!$E$5:$E$9,0)),"")</f>
        <v>Y</v>
      </c>
      <c r="J257" s="11">
        <v>8</v>
      </c>
      <c r="K257" s="12">
        <v>130</v>
      </c>
      <c r="L257" s="13">
        <f>IF(I257&lt;&gt;"Y","",IFERROR(INDEX(Lists!$L$5:$L$20,MATCH(D257&amp;"|"&amp;G257,Lists!$I$5:$I$20,0)),""))</f>
        <v>130</v>
      </c>
      <c r="M257" s="10" t="str">
        <f t="shared" si="22"/>
        <v>E024|20260918|P104</v>
      </c>
      <c r="N257" s="10" t="str">
        <f>IF(COUNTIFS($M$5:M257,M257)&gt;1,"DUPLICATE","")</f>
        <v/>
      </c>
      <c r="O257" s="10" t="str">
        <f t="shared" si="23"/>
        <v/>
      </c>
      <c r="P257" s="10" t="str">
        <f t="shared" si="24"/>
        <v/>
      </c>
      <c r="Q257" s="10" t="str">
        <f>IF(COUNTIF(Lists!$E$5:$E$9,G257)=0,"PROJECT?","")</f>
        <v/>
      </c>
      <c r="R257" s="10" t="str">
        <f t="shared" si="25"/>
        <v/>
      </c>
      <c r="S257" s="10" t="str">
        <f>IF(AND(I257="Y",N257="",COUNTIF(Billing_Data!$H$5:$H$319,M257)=0),"NOT BILLED","")</f>
        <v/>
      </c>
      <c r="T257" s="14">
        <f t="shared" si="26"/>
        <v>0</v>
      </c>
      <c r="U257" s="15">
        <f t="shared" si="27"/>
        <v>1040</v>
      </c>
    </row>
    <row r="258" spans="1:21" x14ac:dyDescent="0.25">
      <c r="A258" s="7" t="s">
        <v>322</v>
      </c>
      <c r="B258" s="7" t="s">
        <v>317</v>
      </c>
      <c r="C258" s="8" t="str">
        <f>IFERROR(INDEX(Lists!$B$5:$B$34,MATCH(B258,Lists!$A$5:$A$34,0)),"")</f>
        <v>Hayden Yardley</v>
      </c>
      <c r="D258" s="8" t="str">
        <f>IFERROR(INDEX(Lists!$C$5:$C$34,MATCH(B258,Lists!$A$5:$A$34,0)),"")</f>
        <v>Field Supervisor</v>
      </c>
      <c r="E258" s="9">
        <v>46286</v>
      </c>
      <c r="F258" s="10" t="str">
        <f t="shared" si="21"/>
        <v>Mon</v>
      </c>
      <c r="G258" s="7" t="s">
        <v>74</v>
      </c>
      <c r="H258" s="8" t="str">
        <f>IFERROR(INDEX(Lists!$F$5:$F$9,MATCH(G258,Lists!$E$5:$E$9,0)),"")</f>
        <v>Delta Environmental (fictional)</v>
      </c>
      <c r="I258" s="8" t="str">
        <f>IFERROR(INDEX(Lists!$G$5:$G$9,MATCH(G258,Lists!$E$5:$E$9,0)),"")</f>
        <v>Y</v>
      </c>
      <c r="J258" s="11">
        <v>8</v>
      </c>
      <c r="K258" s="12">
        <v>130</v>
      </c>
      <c r="L258" s="13">
        <f>IF(I258&lt;&gt;"Y","",IFERROR(INDEX(Lists!$L$5:$L$20,MATCH(D258&amp;"|"&amp;G258,Lists!$I$5:$I$20,0)),""))</f>
        <v>130</v>
      </c>
      <c r="M258" s="10" t="str">
        <f t="shared" si="22"/>
        <v>E024|20260921|P104</v>
      </c>
      <c r="N258" s="10" t="str">
        <f>IF(COUNTIFS($M$5:M258,M258)&gt;1,"DUPLICATE","")</f>
        <v/>
      </c>
      <c r="O258" s="10" t="str">
        <f t="shared" si="23"/>
        <v/>
      </c>
      <c r="P258" s="10" t="str">
        <f t="shared" si="24"/>
        <v/>
      </c>
      <c r="Q258" s="10" t="str">
        <f>IF(COUNTIF(Lists!$E$5:$E$9,G258)=0,"PROJECT?","")</f>
        <v/>
      </c>
      <c r="R258" s="10" t="str">
        <f t="shared" si="25"/>
        <v/>
      </c>
      <c r="S258" s="10" t="str">
        <f>IF(AND(I258="Y",N258="",COUNTIF(Billing_Data!$H$5:$H$319,M258)=0),"NOT BILLED","")</f>
        <v/>
      </c>
      <c r="T258" s="14">
        <f t="shared" si="26"/>
        <v>0</v>
      </c>
      <c r="U258" s="15">
        <f t="shared" si="27"/>
        <v>1040</v>
      </c>
    </row>
    <row r="259" spans="1:21" x14ac:dyDescent="0.25">
      <c r="A259" s="7" t="s">
        <v>323</v>
      </c>
      <c r="B259" s="7" t="s">
        <v>317</v>
      </c>
      <c r="C259" s="8" t="str">
        <f>IFERROR(INDEX(Lists!$B$5:$B$34,MATCH(B259,Lists!$A$5:$A$34,0)),"")</f>
        <v>Hayden Yardley</v>
      </c>
      <c r="D259" s="8" t="str">
        <f>IFERROR(INDEX(Lists!$C$5:$C$34,MATCH(B259,Lists!$A$5:$A$34,0)),"")</f>
        <v>Field Supervisor</v>
      </c>
      <c r="E259" s="9">
        <v>46287</v>
      </c>
      <c r="F259" s="10" t="str">
        <f t="shared" si="21"/>
        <v>Tue</v>
      </c>
      <c r="G259" s="7" t="s">
        <v>74</v>
      </c>
      <c r="H259" s="8" t="str">
        <f>IFERROR(INDEX(Lists!$F$5:$F$9,MATCH(G259,Lists!$E$5:$E$9,0)),"")</f>
        <v>Delta Environmental (fictional)</v>
      </c>
      <c r="I259" s="8" t="str">
        <f>IFERROR(INDEX(Lists!$G$5:$G$9,MATCH(G259,Lists!$E$5:$E$9,0)),"")</f>
        <v>Y</v>
      </c>
      <c r="J259" s="11">
        <v>8</v>
      </c>
      <c r="K259" s="12">
        <v>130</v>
      </c>
      <c r="L259" s="13">
        <f>IF(I259&lt;&gt;"Y","",IFERROR(INDEX(Lists!$L$5:$L$20,MATCH(D259&amp;"|"&amp;G259,Lists!$I$5:$I$20,0)),""))</f>
        <v>130</v>
      </c>
      <c r="M259" s="10" t="str">
        <f t="shared" si="22"/>
        <v>E024|20260922|P104</v>
      </c>
      <c r="N259" s="10" t="str">
        <f>IF(COUNTIFS($M$5:M259,M259)&gt;1,"DUPLICATE","")</f>
        <v/>
      </c>
      <c r="O259" s="10" t="str">
        <f t="shared" si="23"/>
        <v/>
      </c>
      <c r="P259" s="10" t="str">
        <f t="shared" si="24"/>
        <v/>
      </c>
      <c r="Q259" s="10" t="str">
        <f>IF(COUNTIF(Lists!$E$5:$E$9,G259)=0,"PROJECT?","")</f>
        <v/>
      </c>
      <c r="R259" s="10" t="str">
        <f t="shared" si="25"/>
        <v/>
      </c>
      <c r="S259" s="10" t="str">
        <f>IF(AND(I259="Y",N259="",COUNTIF(Billing_Data!$H$5:$H$319,M259)=0),"NOT BILLED","")</f>
        <v/>
      </c>
      <c r="T259" s="14">
        <f t="shared" si="26"/>
        <v>0</v>
      </c>
      <c r="U259" s="15">
        <f t="shared" si="27"/>
        <v>1040</v>
      </c>
    </row>
    <row r="260" spans="1:21" x14ac:dyDescent="0.25">
      <c r="A260" s="7" t="s">
        <v>324</v>
      </c>
      <c r="B260" s="7" t="s">
        <v>317</v>
      </c>
      <c r="C260" s="8" t="str">
        <f>IFERROR(INDEX(Lists!$B$5:$B$34,MATCH(B260,Lists!$A$5:$A$34,0)),"")</f>
        <v>Hayden Yardley</v>
      </c>
      <c r="D260" s="8" t="str">
        <f>IFERROR(INDEX(Lists!$C$5:$C$34,MATCH(B260,Lists!$A$5:$A$34,0)),"")</f>
        <v>Field Supervisor</v>
      </c>
      <c r="E260" s="9">
        <v>46288</v>
      </c>
      <c r="F260" s="10" t="str">
        <f t="shared" si="21"/>
        <v>Wed</v>
      </c>
      <c r="G260" s="7" t="s">
        <v>74</v>
      </c>
      <c r="H260" s="8" t="str">
        <f>IFERROR(INDEX(Lists!$F$5:$F$9,MATCH(G260,Lists!$E$5:$E$9,0)),"")</f>
        <v>Delta Environmental (fictional)</v>
      </c>
      <c r="I260" s="8" t="str">
        <f>IFERROR(INDEX(Lists!$G$5:$G$9,MATCH(G260,Lists!$E$5:$E$9,0)),"")</f>
        <v>Y</v>
      </c>
      <c r="J260" s="11">
        <v>8</v>
      </c>
      <c r="K260" s="12">
        <v>130</v>
      </c>
      <c r="L260" s="13">
        <f>IF(I260&lt;&gt;"Y","",IFERROR(INDEX(Lists!$L$5:$L$20,MATCH(D260&amp;"|"&amp;G260,Lists!$I$5:$I$20,0)),""))</f>
        <v>130</v>
      </c>
      <c r="M260" s="10" t="str">
        <f t="shared" si="22"/>
        <v>E024|20260923|P104</v>
      </c>
      <c r="N260" s="10" t="str">
        <f>IF(COUNTIFS($M$5:M260,M260)&gt;1,"DUPLICATE","")</f>
        <v/>
      </c>
      <c r="O260" s="10" t="str">
        <f t="shared" si="23"/>
        <v/>
      </c>
      <c r="P260" s="10" t="str">
        <f t="shared" si="24"/>
        <v/>
      </c>
      <c r="Q260" s="10" t="str">
        <f>IF(COUNTIF(Lists!$E$5:$E$9,G260)=0,"PROJECT?","")</f>
        <v/>
      </c>
      <c r="R260" s="10" t="str">
        <f t="shared" si="25"/>
        <v/>
      </c>
      <c r="S260" s="10" t="str">
        <f>IF(AND(I260="Y",N260="",COUNTIF(Billing_Data!$H$5:$H$319,M260)=0),"NOT BILLED","")</f>
        <v/>
      </c>
      <c r="T260" s="14">
        <f t="shared" si="26"/>
        <v>0</v>
      </c>
      <c r="U260" s="15">
        <f t="shared" si="27"/>
        <v>1040</v>
      </c>
    </row>
    <row r="261" spans="1:21" x14ac:dyDescent="0.25">
      <c r="A261" s="7" t="s">
        <v>325</v>
      </c>
      <c r="B261" s="7" t="s">
        <v>317</v>
      </c>
      <c r="C261" s="8" t="str">
        <f>IFERROR(INDEX(Lists!$B$5:$B$34,MATCH(B261,Lists!$A$5:$A$34,0)),"")</f>
        <v>Hayden Yardley</v>
      </c>
      <c r="D261" s="8" t="str">
        <f>IFERROR(INDEX(Lists!$C$5:$C$34,MATCH(B261,Lists!$A$5:$A$34,0)),"")</f>
        <v>Field Supervisor</v>
      </c>
      <c r="E261" s="9">
        <v>46289</v>
      </c>
      <c r="F261" s="10" t="str">
        <f t="shared" ref="F261:F324" si="28">TEXT(E261,"ddd")</f>
        <v>Thu</v>
      </c>
      <c r="G261" s="7" t="s">
        <v>74</v>
      </c>
      <c r="H261" s="8" t="str">
        <f>IFERROR(INDEX(Lists!$F$5:$F$9,MATCH(G261,Lists!$E$5:$E$9,0)),"")</f>
        <v>Delta Environmental (fictional)</v>
      </c>
      <c r="I261" s="8" t="str">
        <f>IFERROR(INDEX(Lists!$G$5:$G$9,MATCH(G261,Lists!$E$5:$E$9,0)),"")</f>
        <v>Y</v>
      </c>
      <c r="J261" s="11">
        <v>4</v>
      </c>
      <c r="K261" s="12">
        <v>130</v>
      </c>
      <c r="L261" s="13">
        <f>IF(I261&lt;&gt;"Y","",IFERROR(INDEX(Lists!$L$5:$L$20,MATCH(D261&amp;"|"&amp;G261,Lists!$I$5:$I$20,0)),""))</f>
        <v>130</v>
      </c>
      <c r="M261" s="10" t="str">
        <f t="shared" ref="M261:M324" si="29">B261&amp;"|"&amp;TEXT(E261,"yyyymmdd")&amp;"|"&amp;G261</f>
        <v>E024|20260924|P104</v>
      </c>
      <c r="N261" s="10" t="str">
        <f>IF(COUNTIFS($M$5:M261,M261)&gt;1,"DUPLICATE","")</f>
        <v/>
      </c>
      <c r="O261" s="10" t="str">
        <f t="shared" ref="O261:O324" si="30">IF(OR(J261&lt;=0,J261&gt;12),"HOURS?","")</f>
        <v/>
      </c>
      <c r="P261" s="10" t="str">
        <f t="shared" ref="P261:P324" si="31">IF(WEEKDAY(E261,2)&gt;5,"WEEKEND","")</f>
        <v/>
      </c>
      <c r="Q261" s="10" t="str">
        <f>IF(COUNTIF(Lists!$E$5:$E$9,G261)=0,"PROJECT?","")</f>
        <v/>
      </c>
      <c r="R261" s="10" t="str">
        <f t="shared" ref="R261:R324" si="32">IF(AND(I261="Y",L261&lt;&gt;"",K261&lt;&gt;L261),"RATE","")</f>
        <v/>
      </c>
      <c r="S261" s="10" t="str">
        <f>IF(AND(I261="Y",N261="",COUNTIF(Billing_Data!$H$5:$H$319,M261)=0),"NOT BILLED","")</f>
        <v/>
      </c>
      <c r="T261" s="14">
        <f t="shared" ref="T261:T324" si="33">SUMPRODUCT(--(LEN(N261:S261)&gt;0))</f>
        <v>0</v>
      </c>
      <c r="U261" s="15">
        <f t="shared" ref="U261:U324" si="34">IF(AND(I261="Y",N261="",L261&lt;&gt;""),J261*L261,0)</f>
        <v>520</v>
      </c>
    </row>
    <row r="262" spans="1:21" x14ac:dyDescent="0.25">
      <c r="A262" s="7" t="s">
        <v>326</v>
      </c>
      <c r="B262" s="7" t="s">
        <v>317</v>
      </c>
      <c r="C262" s="8" t="str">
        <f>IFERROR(INDEX(Lists!$B$5:$B$34,MATCH(B262,Lists!$A$5:$A$34,0)),"")</f>
        <v>Hayden Yardley</v>
      </c>
      <c r="D262" s="8" t="str">
        <f>IFERROR(INDEX(Lists!$C$5:$C$34,MATCH(B262,Lists!$A$5:$A$34,0)),"")</f>
        <v>Field Supervisor</v>
      </c>
      <c r="E262" s="9">
        <v>46289</v>
      </c>
      <c r="F262" s="10" t="str">
        <f t="shared" si="28"/>
        <v>Thu</v>
      </c>
      <c r="G262" s="7" t="s">
        <v>53</v>
      </c>
      <c r="H262" s="8" t="str">
        <f>IFERROR(INDEX(Lists!$F$5:$F$9,MATCH(G262,Lists!$E$5:$E$9,0)),"")</f>
        <v>Internal / non-billable</v>
      </c>
      <c r="I262" s="8" t="str">
        <f>IFERROR(INDEX(Lists!$G$5:$G$9,MATCH(G262,Lists!$E$5:$E$9,0)),"")</f>
        <v>N</v>
      </c>
      <c r="J262" s="11">
        <v>4</v>
      </c>
      <c r="K262" s="12">
        <v>0</v>
      </c>
      <c r="L262" s="13" t="str">
        <f>IF(I262&lt;&gt;"Y","",IFERROR(INDEX(Lists!$L$5:$L$20,MATCH(D262&amp;"|"&amp;G262,Lists!$I$5:$I$20,0)),""))</f>
        <v/>
      </c>
      <c r="M262" s="10" t="str">
        <f t="shared" si="29"/>
        <v>E024|20260924|INT-001</v>
      </c>
      <c r="N262" s="10" t="str">
        <f>IF(COUNTIFS($M$5:M262,M262)&gt;1,"DUPLICATE","")</f>
        <v/>
      </c>
      <c r="O262" s="10" t="str">
        <f t="shared" si="30"/>
        <v/>
      </c>
      <c r="P262" s="10" t="str">
        <f t="shared" si="31"/>
        <v/>
      </c>
      <c r="Q262" s="10" t="str">
        <f>IF(COUNTIF(Lists!$E$5:$E$9,G262)=0,"PROJECT?","")</f>
        <v/>
      </c>
      <c r="R262" s="10" t="str">
        <f t="shared" si="32"/>
        <v/>
      </c>
      <c r="S262" s="10" t="str">
        <f>IF(AND(I262="Y",N262="",COUNTIF(Billing_Data!$H$5:$H$319,M262)=0),"NOT BILLED","")</f>
        <v/>
      </c>
      <c r="T262" s="14">
        <f t="shared" si="33"/>
        <v>0</v>
      </c>
      <c r="U262" s="15">
        <f t="shared" si="34"/>
        <v>0</v>
      </c>
    </row>
    <row r="263" spans="1:21" x14ac:dyDescent="0.25">
      <c r="A263" s="7" t="s">
        <v>327</v>
      </c>
      <c r="B263" s="7" t="s">
        <v>317</v>
      </c>
      <c r="C263" s="8" t="str">
        <f>IFERROR(INDEX(Lists!$B$5:$B$34,MATCH(B263,Lists!$A$5:$A$34,0)),"")</f>
        <v>Hayden Yardley</v>
      </c>
      <c r="D263" s="8" t="str">
        <f>IFERROR(INDEX(Lists!$C$5:$C$34,MATCH(B263,Lists!$A$5:$A$34,0)),"")</f>
        <v>Field Supervisor</v>
      </c>
      <c r="E263" s="9">
        <v>46290</v>
      </c>
      <c r="F263" s="10" t="str">
        <f t="shared" si="28"/>
        <v>Fri</v>
      </c>
      <c r="G263" s="7" t="s">
        <v>74</v>
      </c>
      <c r="H263" s="8" t="str">
        <f>IFERROR(INDEX(Lists!$F$5:$F$9,MATCH(G263,Lists!$E$5:$E$9,0)),"")</f>
        <v>Delta Environmental (fictional)</v>
      </c>
      <c r="I263" s="8" t="str">
        <f>IFERROR(INDEX(Lists!$G$5:$G$9,MATCH(G263,Lists!$E$5:$E$9,0)),"")</f>
        <v>Y</v>
      </c>
      <c r="J263" s="11">
        <v>8</v>
      </c>
      <c r="K263" s="12">
        <v>130</v>
      </c>
      <c r="L263" s="13">
        <f>IF(I263&lt;&gt;"Y","",IFERROR(INDEX(Lists!$L$5:$L$20,MATCH(D263&amp;"|"&amp;G263,Lists!$I$5:$I$20,0)),""))</f>
        <v>130</v>
      </c>
      <c r="M263" s="10" t="str">
        <f t="shared" si="29"/>
        <v>E024|20260925|P104</v>
      </c>
      <c r="N263" s="10" t="str">
        <f>IF(COUNTIFS($M$5:M263,M263)&gt;1,"DUPLICATE","")</f>
        <v/>
      </c>
      <c r="O263" s="10" t="str">
        <f t="shared" si="30"/>
        <v/>
      </c>
      <c r="P263" s="10" t="str">
        <f t="shared" si="31"/>
        <v/>
      </c>
      <c r="Q263" s="10" t="str">
        <f>IF(COUNTIF(Lists!$E$5:$E$9,G263)=0,"PROJECT?","")</f>
        <v/>
      </c>
      <c r="R263" s="10" t="str">
        <f t="shared" si="32"/>
        <v/>
      </c>
      <c r="S263" s="10" t="str">
        <f>IF(AND(I263="Y",N263="",COUNTIF(Billing_Data!$H$5:$H$319,M263)=0),"NOT BILLED","")</f>
        <v/>
      </c>
      <c r="T263" s="14">
        <f t="shared" si="33"/>
        <v>0</v>
      </c>
      <c r="U263" s="15">
        <f t="shared" si="34"/>
        <v>1040</v>
      </c>
    </row>
    <row r="264" spans="1:21" x14ac:dyDescent="0.25">
      <c r="A264" s="7" t="s">
        <v>328</v>
      </c>
      <c r="B264" s="7" t="s">
        <v>329</v>
      </c>
      <c r="C264" s="8" t="str">
        <f>IFERROR(INDEX(Lists!$B$5:$B$34,MATCH(B264,Lists!$A$5:$A$34,0)),"")</f>
        <v>Jesse Zeller</v>
      </c>
      <c r="D264" s="8" t="str">
        <f>IFERROR(INDEX(Lists!$C$5:$C$34,MATCH(B264,Lists!$A$5:$A$34,0)),"")</f>
        <v>Safety Advisor</v>
      </c>
      <c r="E264" s="9">
        <v>46279</v>
      </c>
      <c r="F264" s="10" t="str">
        <f t="shared" si="28"/>
        <v>Mon</v>
      </c>
      <c r="G264" s="7" t="s">
        <v>41</v>
      </c>
      <c r="H264" s="8" t="str">
        <f>IFERROR(INDEX(Lists!$F$5:$F$9,MATCH(G264,Lists!$E$5:$E$9,0)),"")</f>
        <v>Alder Energy (fictional)</v>
      </c>
      <c r="I264" s="8" t="str">
        <f>IFERROR(INDEX(Lists!$G$5:$G$9,MATCH(G264,Lists!$E$5:$E$9,0)),"")</f>
        <v>Y</v>
      </c>
      <c r="J264" s="11">
        <v>8</v>
      </c>
      <c r="K264" s="12">
        <v>98</v>
      </c>
      <c r="L264" s="13">
        <f>IF(I264&lt;&gt;"Y","",IFERROR(INDEX(Lists!$L$5:$L$20,MATCH(D264&amp;"|"&amp;G264,Lists!$I$5:$I$20,0)),""))</f>
        <v>98</v>
      </c>
      <c r="M264" s="10" t="str">
        <f t="shared" si="29"/>
        <v>E025|20260914|P101</v>
      </c>
      <c r="N264" s="10" t="str">
        <f>IF(COUNTIFS($M$5:M264,M264)&gt;1,"DUPLICATE","")</f>
        <v/>
      </c>
      <c r="O264" s="10" t="str">
        <f t="shared" si="30"/>
        <v/>
      </c>
      <c r="P264" s="10" t="str">
        <f t="shared" si="31"/>
        <v/>
      </c>
      <c r="Q264" s="10" t="str">
        <f>IF(COUNTIF(Lists!$E$5:$E$9,G264)=0,"PROJECT?","")</f>
        <v/>
      </c>
      <c r="R264" s="10" t="str">
        <f t="shared" si="32"/>
        <v/>
      </c>
      <c r="S264" s="10" t="str">
        <f>IF(AND(I264="Y",N264="",COUNTIF(Billing_Data!$H$5:$H$319,M264)=0),"NOT BILLED","")</f>
        <v/>
      </c>
      <c r="T264" s="14">
        <f t="shared" si="33"/>
        <v>0</v>
      </c>
      <c r="U264" s="15">
        <f t="shared" si="34"/>
        <v>784</v>
      </c>
    </row>
    <row r="265" spans="1:21" x14ac:dyDescent="0.25">
      <c r="A265" s="7" t="s">
        <v>330</v>
      </c>
      <c r="B265" s="7" t="s">
        <v>329</v>
      </c>
      <c r="C265" s="8" t="str">
        <f>IFERROR(INDEX(Lists!$B$5:$B$34,MATCH(B265,Lists!$A$5:$A$34,0)),"")</f>
        <v>Jesse Zeller</v>
      </c>
      <c r="D265" s="8" t="str">
        <f>IFERROR(INDEX(Lists!$C$5:$C$34,MATCH(B265,Lists!$A$5:$A$34,0)),"")</f>
        <v>Safety Advisor</v>
      </c>
      <c r="E265" s="9">
        <v>46280</v>
      </c>
      <c r="F265" s="10" t="str">
        <f t="shared" si="28"/>
        <v>Tue</v>
      </c>
      <c r="G265" s="7" t="s">
        <v>41</v>
      </c>
      <c r="H265" s="8" t="str">
        <f>IFERROR(INDEX(Lists!$F$5:$F$9,MATCH(G265,Lists!$E$5:$E$9,0)),"")</f>
        <v>Alder Energy (fictional)</v>
      </c>
      <c r="I265" s="8" t="str">
        <f>IFERROR(INDEX(Lists!$G$5:$G$9,MATCH(G265,Lists!$E$5:$E$9,0)),"")</f>
        <v>Y</v>
      </c>
      <c r="J265" s="11">
        <v>8</v>
      </c>
      <c r="K265" s="12">
        <v>98</v>
      </c>
      <c r="L265" s="13">
        <f>IF(I265&lt;&gt;"Y","",IFERROR(INDEX(Lists!$L$5:$L$20,MATCH(D265&amp;"|"&amp;G265,Lists!$I$5:$I$20,0)),""))</f>
        <v>98</v>
      </c>
      <c r="M265" s="10" t="str">
        <f t="shared" si="29"/>
        <v>E025|20260915|P101</v>
      </c>
      <c r="N265" s="10" t="str">
        <f>IF(COUNTIFS($M$5:M265,M265)&gt;1,"DUPLICATE","")</f>
        <v/>
      </c>
      <c r="O265" s="10" t="str">
        <f t="shared" si="30"/>
        <v/>
      </c>
      <c r="P265" s="10" t="str">
        <f t="shared" si="31"/>
        <v/>
      </c>
      <c r="Q265" s="10" t="str">
        <f>IF(COUNTIF(Lists!$E$5:$E$9,G265)=0,"PROJECT?","")</f>
        <v/>
      </c>
      <c r="R265" s="10" t="str">
        <f t="shared" si="32"/>
        <v/>
      </c>
      <c r="S265" s="10" t="str">
        <f>IF(AND(I265="Y",N265="",COUNTIF(Billing_Data!$H$5:$H$319,M265)=0),"NOT BILLED","")</f>
        <v/>
      </c>
      <c r="T265" s="14">
        <f t="shared" si="33"/>
        <v>0</v>
      </c>
      <c r="U265" s="15">
        <f t="shared" si="34"/>
        <v>784</v>
      </c>
    </row>
    <row r="266" spans="1:21" x14ac:dyDescent="0.25">
      <c r="A266" s="7" t="s">
        <v>331</v>
      </c>
      <c r="B266" s="7" t="s">
        <v>329</v>
      </c>
      <c r="C266" s="8" t="str">
        <f>IFERROR(INDEX(Lists!$B$5:$B$34,MATCH(B266,Lists!$A$5:$A$34,0)),"")</f>
        <v>Jesse Zeller</v>
      </c>
      <c r="D266" s="8" t="str">
        <f>IFERROR(INDEX(Lists!$C$5:$C$34,MATCH(B266,Lists!$A$5:$A$34,0)),"")</f>
        <v>Safety Advisor</v>
      </c>
      <c r="E266" s="9">
        <v>46281</v>
      </c>
      <c r="F266" s="10" t="str">
        <f t="shared" si="28"/>
        <v>Wed</v>
      </c>
      <c r="G266" s="7" t="s">
        <v>41</v>
      </c>
      <c r="H266" s="8" t="str">
        <f>IFERROR(INDEX(Lists!$F$5:$F$9,MATCH(G266,Lists!$E$5:$E$9,0)),"")</f>
        <v>Alder Energy (fictional)</v>
      </c>
      <c r="I266" s="8" t="str">
        <f>IFERROR(INDEX(Lists!$G$5:$G$9,MATCH(G266,Lists!$E$5:$E$9,0)),"")</f>
        <v>Y</v>
      </c>
      <c r="J266" s="11">
        <v>8</v>
      </c>
      <c r="K266" s="12">
        <v>103</v>
      </c>
      <c r="L266" s="13">
        <f>IF(I266&lt;&gt;"Y","",IFERROR(INDEX(Lists!$L$5:$L$20,MATCH(D266&amp;"|"&amp;G266,Lists!$I$5:$I$20,0)),""))</f>
        <v>98</v>
      </c>
      <c r="M266" s="10" t="str">
        <f t="shared" si="29"/>
        <v>E025|20260916|P101</v>
      </c>
      <c r="N266" s="10" t="str">
        <f>IF(COUNTIFS($M$5:M266,M266)&gt;1,"DUPLICATE","")</f>
        <v/>
      </c>
      <c r="O266" s="10" t="str">
        <f t="shared" si="30"/>
        <v/>
      </c>
      <c r="P266" s="10" t="str">
        <f t="shared" si="31"/>
        <v/>
      </c>
      <c r="Q266" s="10" t="str">
        <f>IF(COUNTIF(Lists!$E$5:$E$9,G266)=0,"PROJECT?","")</f>
        <v/>
      </c>
      <c r="R266" s="10" t="str">
        <f t="shared" si="32"/>
        <v>RATE</v>
      </c>
      <c r="S266" s="10" t="str">
        <f>IF(AND(I266="Y",N266="",COUNTIF(Billing_Data!$H$5:$H$319,M266)=0),"NOT BILLED","")</f>
        <v/>
      </c>
      <c r="T266" s="14">
        <f t="shared" si="33"/>
        <v>1</v>
      </c>
      <c r="U266" s="15">
        <f t="shared" si="34"/>
        <v>784</v>
      </c>
    </row>
    <row r="267" spans="1:21" x14ac:dyDescent="0.25">
      <c r="A267" s="7" t="s">
        <v>332</v>
      </c>
      <c r="B267" s="7" t="s">
        <v>329</v>
      </c>
      <c r="C267" s="8" t="str">
        <f>IFERROR(INDEX(Lists!$B$5:$B$34,MATCH(B267,Lists!$A$5:$A$34,0)),"")</f>
        <v>Jesse Zeller</v>
      </c>
      <c r="D267" s="8" t="str">
        <f>IFERROR(INDEX(Lists!$C$5:$C$34,MATCH(B267,Lists!$A$5:$A$34,0)),"")</f>
        <v>Safety Advisor</v>
      </c>
      <c r="E267" s="9">
        <v>46282</v>
      </c>
      <c r="F267" s="10" t="str">
        <f t="shared" si="28"/>
        <v>Thu</v>
      </c>
      <c r="G267" s="7" t="s">
        <v>41</v>
      </c>
      <c r="H267" s="8" t="str">
        <f>IFERROR(INDEX(Lists!$F$5:$F$9,MATCH(G267,Lists!$E$5:$E$9,0)),"")</f>
        <v>Alder Energy (fictional)</v>
      </c>
      <c r="I267" s="8" t="str">
        <f>IFERROR(INDEX(Lists!$G$5:$G$9,MATCH(G267,Lists!$E$5:$E$9,0)),"")</f>
        <v>Y</v>
      </c>
      <c r="J267" s="11">
        <v>8</v>
      </c>
      <c r="K267" s="12">
        <v>98</v>
      </c>
      <c r="L267" s="13">
        <f>IF(I267&lt;&gt;"Y","",IFERROR(INDEX(Lists!$L$5:$L$20,MATCH(D267&amp;"|"&amp;G267,Lists!$I$5:$I$20,0)),""))</f>
        <v>98</v>
      </c>
      <c r="M267" s="10" t="str">
        <f t="shared" si="29"/>
        <v>E025|20260917|P101</v>
      </c>
      <c r="N267" s="10" t="str">
        <f>IF(COUNTIFS($M$5:M267,M267)&gt;1,"DUPLICATE","")</f>
        <v/>
      </c>
      <c r="O267" s="10" t="str">
        <f t="shared" si="30"/>
        <v/>
      </c>
      <c r="P267" s="10" t="str">
        <f t="shared" si="31"/>
        <v/>
      </c>
      <c r="Q267" s="10" t="str">
        <f>IF(COUNTIF(Lists!$E$5:$E$9,G267)=0,"PROJECT?","")</f>
        <v/>
      </c>
      <c r="R267" s="10" t="str">
        <f t="shared" si="32"/>
        <v/>
      </c>
      <c r="S267" s="10" t="str">
        <f>IF(AND(I267="Y",N267="",COUNTIF(Billing_Data!$H$5:$H$319,M267)=0),"NOT BILLED","")</f>
        <v/>
      </c>
      <c r="T267" s="14">
        <f t="shared" si="33"/>
        <v>0</v>
      </c>
      <c r="U267" s="15">
        <f t="shared" si="34"/>
        <v>784</v>
      </c>
    </row>
    <row r="268" spans="1:21" x14ac:dyDescent="0.25">
      <c r="A268" s="7" t="s">
        <v>333</v>
      </c>
      <c r="B268" s="7" t="s">
        <v>329</v>
      </c>
      <c r="C268" s="8" t="str">
        <f>IFERROR(INDEX(Lists!$B$5:$B$34,MATCH(B268,Lists!$A$5:$A$34,0)),"")</f>
        <v>Jesse Zeller</v>
      </c>
      <c r="D268" s="8" t="str">
        <f>IFERROR(INDEX(Lists!$C$5:$C$34,MATCH(B268,Lists!$A$5:$A$34,0)),"")</f>
        <v>Safety Advisor</v>
      </c>
      <c r="E268" s="9">
        <v>46283</v>
      </c>
      <c r="F268" s="10" t="str">
        <f t="shared" si="28"/>
        <v>Fri</v>
      </c>
      <c r="G268" s="7" t="s">
        <v>41</v>
      </c>
      <c r="H268" s="8" t="str">
        <f>IFERROR(INDEX(Lists!$F$5:$F$9,MATCH(G268,Lists!$E$5:$E$9,0)),"")</f>
        <v>Alder Energy (fictional)</v>
      </c>
      <c r="I268" s="8" t="str">
        <f>IFERROR(INDEX(Lists!$G$5:$G$9,MATCH(G268,Lists!$E$5:$E$9,0)),"")</f>
        <v>Y</v>
      </c>
      <c r="J268" s="11">
        <v>8</v>
      </c>
      <c r="K268" s="12">
        <v>98</v>
      </c>
      <c r="L268" s="13">
        <f>IF(I268&lt;&gt;"Y","",IFERROR(INDEX(Lists!$L$5:$L$20,MATCH(D268&amp;"|"&amp;G268,Lists!$I$5:$I$20,0)),""))</f>
        <v>98</v>
      </c>
      <c r="M268" s="10" t="str">
        <f t="shared" si="29"/>
        <v>E025|20260918|P101</v>
      </c>
      <c r="N268" s="10" t="str">
        <f>IF(COUNTIFS($M$5:M268,M268)&gt;1,"DUPLICATE","")</f>
        <v/>
      </c>
      <c r="O268" s="10" t="str">
        <f t="shared" si="30"/>
        <v/>
      </c>
      <c r="P268" s="10" t="str">
        <f t="shared" si="31"/>
        <v/>
      </c>
      <c r="Q268" s="10" t="str">
        <f>IF(COUNTIF(Lists!$E$5:$E$9,G268)=0,"PROJECT?","")</f>
        <v/>
      </c>
      <c r="R268" s="10" t="str">
        <f t="shared" si="32"/>
        <v/>
      </c>
      <c r="S268" s="10" t="str">
        <f>IF(AND(I268="Y",N268="",COUNTIF(Billing_Data!$H$5:$H$319,M268)=0),"NOT BILLED","")</f>
        <v/>
      </c>
      <c r="T268" s="14">
        <f t="shared" si="33"/>
        <v>0</v>
      </c>
      <c r="U268" s="15">
        <f t="shared" si="34"/>
        <v>784</v>
      </c>
    </row>
    <row r="269" spans="1:21" x14ac:dyDescent="0.25">
      <c r="A269" s="7" t="s">
        <v>334</v>
      </c>
      <c r="B269" s="7" t="s">
        <v>329</v>
      </c>
      <c r="C269" s="8" t="str">
        <f>IFERROR(INDEX(Lists!$B$5:$B$34,MATCH(B269,Lists!$A$5:$A$34,0)),"")</f>
        <v>Jesse Zeller</v>
      </c>
      <c r="D269" s="8" t="str">
        <f>IFERROR(INDEX(Lists!$C$5:$C$34,MATCH(B269,Lists!$A$5:$A$34,0)),"")</f>
        <v>Safety Advisor</v>
      </c>
      <c r="E269" s="9">
        <v>46286</v>
      </c>
      <c r="F269" s="10" t="str">
        <f t="shared" si="28"/>
        <v>Mon</v>
      </c>
      <c r="G269" s="7" t="s">
        <v>41</v>
      </c>
      <c r="H269" s="8" t="str">
        <f>IFERROR(INDEX(Lists!$F$5:$F$9,MATCH(G269,Lists!$E$5:$E$9,0)),"")</f>
        <v>Alder Energy (fictional)</v>
      </c>
      <c r="I269" s="8" t="str">
        <f>IFERROR(INDEX(Lists!$G$5:$G$9,MATCH(G269,Lists!$E$5:$E$9,0)),"")</f>
        <v>Y</v>
      </c>
      <c r="J269" s="11">
        <v>8</v>
      </c>
      <c r="K269" s="12">
        <v>98</v>
      </c>
      <c r="L269" s="13">
        <f>IF(I269&lt;&gt;"Y","",IFERROR(INDEX(Lists!$L$5:$L$20,MATCH(D269&amp;"|"&amp;G269,Lists!$I$5:$I$20,0)),""))</f>
        <v>98</v>
      </c>
      <c r="M269" s="10" t="str">
        <f t="shared" si="29"/>
        <v>E025|20260921|P101</v>
      </c>
      <c r="N269" s="10" t="str">
        <f>IF(COUNTIFS($M$5:M269,M269)&gt;1,"DUPLICATE","")</f>
        <v/>
      </c>
      <c r="O269" s="10" t="str">
        <f t="shared" si="30"/>
        <v/>
      </c>
      <c r="P269" s="10" t="str">
        <f t="shared" si="31"/>
        <v/>
      </c>
      <c r="Q269" s="10" t="str">
        <f>IF(COUNTIF(Lists!$E$5:$E$9,G269)=0,"PROJECT?","")</f>
        <v/>
      </c>
      <c r="R269" s="10" t="str">
        <f t="shared" si="32"/>
        <v/>
      </c>
      <c r="S269" s="10" t="str">
        <f>IF(AND(I269="Y",N269="",COUNTIF(Billing_Data!$H$5:$H$319,M269)=0),"NOT BILLED","")</f>
        <v>NOT BILLED</v>
      </c>
      <c r="T269" s="14">
        <f t="shared" si="33"/>
        <v>1</v>
      </c>
      <c r="U269" s="15">
        <f t="shared" si="34"/>
        <v>784</v>
      </c>
    </row>
    <row r="270" spans="1:21" x14ac:dyDescent="0.25">
      <c r="A270" s="7" t="s">
        <v>335</v>
      </c>
      <c r="B270" s="7" t="s">
        <v>329</v>
      </c>
      <c r="C270" s="8" t="str">
        <f>IFERROR(INDEX(Lists!$B$5:$B$34,MATCH(B270,Lists!$A$5:$A$34,0)),"")</f>
        <v>Jesse Zeller</v>
      </c>
      <c r="D270" s="8" t="str">
        <f>IFERROR(INDEX(Lists!$C$5:$C$34,MATCH(B270,Lists!$A$5:$A$34,0)),"")</f>
        <v>Safety Advisor</v>
      </c>
      <c r="E270" s="9">
        <v>46287</v>
      </c>
      <c r="F270" s="10" t="str">
        <f t="shared" si="28"/>
        <v>Tue</v>
      </c>
      <c r="G270" s="7" t="s">
        <v>41</v>
      </c>
      <c r="H270" s="8" t="str">
        <f>IFERROR(INDEX(Lists!$F$5:$F$9,MATCH(G270,Lists!$E$5:$E$9,0)),"")</f>
        <v>Alder Energy (fictional)</v>
      </c>
      <c r="I270" s="8" t="str">
        <f>IFERROR(INDEX(Lists!$G$5:$G$9,MATCH(G270,Lists!$E$5:$E$9,0)),"")</f>
        <v>Y</v>
      </c>
      <c r="J270" s="11">
        <v>4</v>
      </c>
      <c r="K270" s="12">
        <v>98</v>
      </c>
      <c r="L270" s="13">
        <f>IF(I270&lt;&gt;"Y","",IFERROR(INDEX(Lists!$L$5:$L$20,MATCH(D270&amp;"|"&amp;G270,Lists!$I$5:$I$20,0)),""))</f>
        <v>98</v>
      </c>
      <c r="M270" s="10" t="str">
        <f t="shared" si="29"/>
        <v>E025|20260922|P101</v>
      </c>
      <c r="N270" s="10" t="str">
        <f>IF(COUNTIFS($M$5:M270,M270)&gt;1,"DUPLICATE","")</f>
        <v/>
      </c>
      <c r="O270" s="10" t="str">
        <f t="shared" si="30"/>
        <v/>
      </c>
      <c r="P270" s="10" t="str">
        <f t="shared" si="31"/>
        <v/>
      </c>
      <c r="Q270" s="10" t="str">
        <f>IF(COUNTIF(Lists!$E$5:$E$9,G270)=0,"PROJECT?","")</f>
        <v/>
      </c>
      <c r="R270" s="10" t="str">
        <f t="shared" si="32"/>
        <v/>
      </c>
      <c r="S270" s="10" t="str">
        <f>IF(AND(I270="Y",N270="",COUNTIF(Billing_Data!$H$5:$H$319,M270)=0),"NOT BILLED","")</f>
        <v/>
      </c>
      <c r="T270" s="14">
        <f t="shared" si="33"/>
        <v>0</v>
      </c>
      <c r="U270" s="15">
        <f t="shared" si="34"/>
        <v>392</v>
      </c>
    </row>
    <row r="271" spans="1:21" x14ac:dyDescent="0.25">
      <c r="A271" s="7" t="s">
        <v>336</v>
      </c>
      <c r="B271" s="7" t="s">
        <v>329</v>
      </c>
      <c r="C271" s="8" t="str">
        <f>IFERROR(INDEX(Lists!$B$5:$B$34,MATCH(B271,Lists!$A$5:$A$34,0)),"")</f>
        <v>Jesse Zeller</v>
      </c>
      <c r="D271" s="8" t="str">
        <f>IFERROR(INDEX(Lists!$C$5:$C$34,MATCH(B271,Lists!$A$5:$A$34,0)),"")</f>
        <v>Safety Advisor</v>
      </c>
      <c r="E271" s="9">
        <v>46287</v>
      </c>
      <c r="F271" s="10" t="str">
        <f t="shared" si="28"/>
        <v>Tue</v>
      </c>
      <c r="G271" s="7" t="s">
        <v>53</v>
      </c>
      <c r="H271" s="8" t="str">
        <f>IFERROR(INDEX(Lists!$F$5:$F$9,MATCH(G271,Lists!$E$5:$E$9,0)),"")</f>
        <v>Internal / non-billable</v>
      </c>
      <c r="I271" s="8" t="str">
        <f>IFERROR(INDEX(Lists!$G$5:$G$9,MATCH(G271,Lists!$E$5:$E$9,0)),"")</f>
        <v>N</v>
      </c>
      <c r="J271" s="11">
        <v>4</v>
      </c>
      <c r="K271" s="12">
        <v>0</v>
      </c>
      <c r="L271" s="13" t="str">
        <f>IF(I271&lt;&gt;"Y","",IFERROR(INDEX(Lists!$L$5:$L$20,MATCH(D271&amp;"|"&amp;G271,Lists!$I$5:$I$20,0)),""))</f>
        <v/>
      </c>
      <c r="M271" s="10" t="str">
        <f t="shared" si="29"/>
        <v>E025|20260922|INT-001</v>
      </c>
      <c r="N271" s="10" t="str">
        <f>IF(COUNTIFS($M$5:M271,M271)&gt;1,"DUPLICATE","")</f>
        <v/>
      </c>
      <c r="O271" s="10" t="str">
        <f t="shared" si="30"/>
        <v/>
      </c>
      <c r="P271" s="10" t="str">
        <f t="shared" si="31"/>
        <v/>
      </c>
      <c r="Q271" s="10" t="str">
        <f>IF(COUNTIF(Lists!$E$5:$E$9,G271)=0,"PROJECT?","")</f>
        <v/>
      </c>
      <c r="R271" s="10" t="str">
        <f t="shared" si="32"/>
        <v/>
      </c>
      <c r="S271" s="10" t="str">
        <f>IF(AND(I271="Y",N271="",COUNTIF(Billing_Data!$H$5:$H$319,M271)=0),"NOT BILLED","")</f>
        <v/>
      </c>
      <c r="T271" s="14">
        <f t="shared" si="33"/>
        <v>0</v>
      </c>
      <c r="U271" s="15">
        <f t="shared" si="34"/>
        <v>0</v>
      </c>
    </row>
    <row r="272" spans="1:21" x14ac:dyDescent="0.25">
      <c r="A272" s="7" t="s">
        <v>337</v>
      </c>
      <c r="B272" s="7" t="s">
        <v>329</v>
      </c>
      <c r="C272" s="8" t="str">
        <f>IFERROR(INDEX(Lists!$B$5:$B$34,MATCH(B272,Lists!$A$5:$A$34,0)),"")</f>
        <v>Jesse Zeller</v>
      </c>
      <c r="D272" s="8" t="str">
        <f>IFERROR(INDEX(Lists!$C$5:$C$34,MATCH(B272,Lists!$A$5:$A$34,0)),"")</f>
        <v>Safety Advisor</v>
      </c>
      <c r="E272" s="9">
        <v>46288</v>
      </c>
      <c r="F272" s="10" t="str">
        <f t="shared" si="28"/>
        <v>Wed</v>
      </c>
      <c r="G272" s="7" t="s">
        <v>41</v>
      </c>
      <c r="H272" s="8" t="str">
        <f>IFERROR(INDEX(Lists!$F$5:$F$9,MATCH(G272,Lists!$E$5:$E$9,0)),"")</f>
        <v>Alder Energy (fictional)</v>
      </c>
      <c r="I272" s="8" t="str">
        <f>IFERROR(INDEX(Lists!$G$5:$G$9,MATCH(G272,Lists!$E$5:$E$9,0)),"")</f>
        <v>Y</v>
      </c>
      <c r="J272" s="11">
        <v>8</v>
      </c>
      <c r="K272" s="12">
        <v>98</v>
      </c>
      <c r="L272" s="13">
        <f>IF(I272&lt;&gt;"Y","",IFERROR(INDEX(Lists!$L$5:$L$20,MATCH(D272&amp;"|"&amp;G272,Lists!$I$5:$I$20,0)),""))</f>
        <v>98</v>
      </c>
      <c r="M272" s="10" t="str">
        <f t="shared" si="29"/>
        <v>E025|20260923|P101</v>
      </c>
      <c r="N272" s="10" t="str">
        <f>IF(COUNTIFS($M$5:M272,M272)&gt;1,"DUPLICATE","")</f>
        <v/>
      </c>
      <c r="O272" s="10" t="str">
        <f t="shared" si="30"/>
        <v/>
      </c>
      <c r="P272" s="10" t="str">
        <f t="shared" si="31"/>
        <v/>
      </c>
      <c r="Q272" s="10" t="str">
        <f>IF(COUNTIF(Lists!$E$5:$E$9,G272)=0,"PROJECT?","")</f>
        <v/>
      </c>
      <c r="R272" s="10" t="str">
        <f t="shared" si="32"/>
        <v/>
      </c>
      <c r="S272" s="10" t="str">
        <f>IF(AND(I272="Y",N272="",COUNTIF(Billing_Data!$H$5:$H$319,M272)=0),"NOT BILLED","")</f>
        <v/>
      </c>
      <c r="T272" s="14">
        <f t="shared" si="33"/>
        <v>0</v>
      </c>
      <c r="U272" s="15">
        <f t="shared" si="34"/>
        <v>784</v>
      </c>
    </row>
    <row r="273" spans="1:21" x14ac:dyDescent="0.25">
      <c r="A273" s="7" t="s">
        <v>338</v>
      </c>
      <c r="B273" s="7" t="s">
        <v>329</v>
      </c>
      <c r="C273" s="8" t="str">
        <f>IFERROR(INDEX(Lists!$B$5:$B$34,MATCH(B273,Lists!$A$5:$A$34,0)),"")</f>
        <v>Jesse Zeller</v>
      </c>
      <c r="D273" s="8" t="str">
        <f>IFERROR(INDEX(Lists!$C$5:$C$34,MATCH(B273,Lists!$A$5:$A$34,0)),"")</f>
        <v>Safety Advisor</v>
      </c>
      <c r="E273" s="9">
        <v>46289</v>
      </c>
      <c r="F273" s="10" t="str">
        <f t="shared" si="28"/>
        <v>Thu</v>
      </c>
      <c r="G273" s="7" t="s">
        <v>41</v>
      </c>
      <c r="H273" s="8" t="str">
        <f>IFERROR(INDEX(Lists!$F$5:$F$9,MATCH(G273,Lists!$E$5:$E$9,0)),"")</f>
        <v>Alder Energy (fictional)</v>
      </c>
      <c r="I273" s="8" t="str">
        <f>IFERROR(INDEX(Lists!$G$5:$G$9,MATCH(G273,Lists!$E$5:$E$9,0)),"")</f>
        <v>Y</v>
      </c>
      <c r="J273" s="11">
        <v>4</v>
      </c>
      <c r="K273" s="12">
        <v>98</v>
      </c>
      <c r="L273" s="13">
        <f>IF(I273&lt;&gt;"Y","",IFERROR(INDEX(Lists!$L$5:$L$20,MATCH(D273&amp;"|"&amp;G273,Lists!$I$5:$I$20,0)),""))</f>
        <v>98</v>
      </c>
      <c r="M273" s="10" t="str">
        <f t="shared" si="29"/>
        <v>E025|20260924|P101</v>
      </c>
      <c r="N273" s="10" t="str">
        <f>IF(COUNTIFS($M$5:M273,M273)&gt;1,"DUPLICATE","")</f>
        <v/>
      </c>
      <c r="O273" s="10" t="str">
        <f t="shared" si="30"/>
        <v/>
      </c>
      <c r="P273" s="10" t="str">
        <f t="shared" si="31"/>
        <v/>
      </c>
      <c r="Q273" s="10" t="str">
        <f>IF(COUNTIF(Lists!$E$5:$E$9,G273)=0,"PROJECT?","")</f>
        <v/>
      </c>
      <c r="R273" s="10" t="str">
        <f t="shared" si="32"/>
        <v/>
      </c>
      <c r="S273" s="10" t="str">
        <f>IF(AND(I273="Y",N273="",COUNTIF(Billing_Data!$H$5:$H$319,M273)=0),"NOT BILLED","")</f>
        <v/>
      </c>
      <c r="T273" s="14">
        <f t="shared" si="33"/>
        <v>0</v>
      </c>
      <c r="U273" s="15">
        <f t="shared" si="34"/>
        <v>392</v>
      </c>
    </row>
    <row r="274" spans="1:21" x14ac:dyDescent="0.25">
      <c r="A274" s="7" t="s">
        <v>339</v>
      </c>
      <c r="B274" s="7" t="s">
        <v>329</v>
      </c>
      <c r="C274" s="8" t="str">
        <f>IFERROR(INDEX(Lists!$B$5:$B$34,MATCH(B274,Lists!$A$5:$A$34,0)),"")</f>
        <v>Jesse Zeller</v>
      </c>
      <c r="D274" s="8" t="str">
        <f>IFERROR(INDEX(Lists!$C$5:$C$34,MATCH(B274,Lists!$A$5:$A$34,0)),"")</f>
        <v>Safety Advisor</v>
      </c>
      <c r="E274" s="9">
        <v>46289</v>
      </c>
      <c r="F274" s="10" t="str">
        <f t="shared" si="28"/>
        <v>Thu</v>
      </c>
      <c r="G274" s="7" t="s">
        <v>46</v>
      </c>
      <c r="H274" s="8" t="str">
        <f>IFERROR(INDEX(Lists!$F$5:$F$9,MATCH(G274,Lists!$E$5:$E$9,0)),"")</f>
        <v>Birchwood Midstream (fictional)</v>
      </c>
      <c r="I274" s="8" t="str">
        <f>IFERROR(INDEX(Lists!$G$5:$G$9,MATCH(G274,Lists!$E$5:$E$9,0)),"")</f>
        <v>Y</v>
      </c>
      <c r="J274" s="11">
        <v>4</v>
      </c>
      <c r="K274" s="12">
        <v>103</v>
      </c>
      <c r="L274" s="13">
        <f>IF(I274&lt;&gt;"Y","",IFERROR(INDEX(Lists!$L$5:$L$20,MATCH(D274&amp;"|"&amp;G274,Lists!$I$5:$I$20,0)),""))</f>
        <v>103</v>
      </c>
      <c r="M274" s="10" t="str">
        <f t="shared" si="29"/>
        <v>E025|20260924|P102</v>
      </c>
      <c r="N274" s="10" t="str">
        <f>IF(COUNTIFS($M$5:M274,M274)&gt;1,"DUPLICATE","")</f>
        <v/>
      </c>
      <c r="O274" s="10" t="str">
        <f t="shared" si="30"/>
        <v/>
      </c>
      <c r="P274" s="10" t="str">
        <f t="shared" si="31"/>
        <v/>
      </c>
      <c r="Q274" s="10" t="str">
        <f>IF(COUNTIF(Lists!$E$5:$E$9,G274)=0,"PROJECT?","")</f>
        <v/>
      </c>
      <c r="R274" s="10" t="str">
        <f t="shared" si="32"/>
        <v/>
      </c>
      <c r="S274" s="10" t="str">
        <f>IF(AND(I274="Y",N274="",COUNTIF(Billing_Data!$H$5:$H$319,M274)=0),"NOT BILLED","")</f>
        <v/>
      </c>
      <c r="T274" s="14">
        <f t="shared" si="33"/>
        <v>0</v>
      </c>
      <c r="U274" s="15">
        <f t="shared" si="34"/>
        <v>412</v>
      </c>
    </row>
    <row r="275" spans="1:21" x14ac:dyDescent="0.25">
      <c r="A275" s="7" t="s">
        <v>340</v>
      </c>
      <c r="B275" s="7" t="s">
        <v>329</v>
      </c>
      <c r="C275" s="8" t="str">
        <f>IFERROR(INDEX(Lists!$B$5:$B$34,MATCH(B275,Lists!$A$5:$A$34,0)),"")</f>
        <v>Jesse Zeller</v>
      </c>
      <c r="D275" s="8" t="str">
        <f>IFERROR(INDEX(Lists!$C$5:$C$34,MATCH(B275,Lists!$A$5:$A$34,0)),"")</f>
        <v>Safety Advisor</v>
      </c>
      <c r="E275" s="9">
        <v>46290</v>
      </c>
      <c r="F275" s="10" t="str">
        <f t="shared" si="28"/>
        <v>Fri</v>
      </c>
      <c r="G275" s="7" t="s">
        <v>41</v>
      </c>
      <c r="H275" s="8" t="str">
        <f>IFERROR(INDEX(Lists!$F$5:$F$9,MATCH(G275,Lists!$E$5:$E$9,0)),"")</f>
        <v>Alder Energy (fictional)</v>
      </c>
      <c r="I275" s="8" t="str">
        <f>IFERROR(INDEX(Lists!$G$5:$G$9,MATCH(G275,Lists!$E$5:$E$9,0)),"")</f>
        <v>Y</v>
      </c>
      <c r="J275" s="11">
        <v>8</v>
      </c>
      <c r="K275" s="12">
        <v>98</v>
      </c>
      <c r="L275" s="13">
        <f>IF(I275&lt;&gt;"Y","",IFERROR(INDEX(Lists!$L$5:$L$20,MATCH(D275&amp;"|"&amp;G275,Lists!$I$5:$I$20,0)),""))</f>
        <v>98</v>
      </c>
      <c r="M275" s="10" t="str">
        <f t="shared" si="29"/>
        <v>E025|20260925|P101</v>
      </c>
      <c r="N275" s="10" t="str">
        <f>IF(COUNTIFS($M$5:M275,M275)&gt;1,"DUPLICATE","")</f>
        <v/>
      </c>
      <c r="O275" s="10" t="str">
        <f t="shared" si="30"/>
        <v/>
      </c>
      <c r="P275" s="10" t="str">
        <f t="shared" si="31"/>
        <v/>
      </c>
      <c r="Q275" s="10" t="str">
        <f>IF(COUNTIF(Lists!$E$5:$E$9,G275)=0,"PROJECT?","")</f>
        <v/>
      </c>
      <c r="R275" s="10" t="str">
        <f t="shared" si="32"/>
        <v/>
      </c>
      <c r="S275" s="10" t="str">
        <f>IF(AND(I275="Y",N275="",COUNTIF(Billing_Data!$H$5:$H$319,M275)=0),"NOT BILLED","")</f>
        <v/>
      </c>
      <c r="T275" s="14">
        <f t="shared" si="33"/>
        <v>0</v>
      </c>
      <c r="U275" s="15">
        <f t="shared" si="34"/>
        <v>784</v>
      </c>
    </row>
    <row r="276" spans="1:21" x14ac:dyDescent="0.25">
      <c r="A276" s="7" t="s">
        <v>341</v>
      </c>
      <c r="B276" s="7" t="s">
        <v>342</v>
      </c>
      <c r="C276" s="8" t="str">
        <f>IFERROR(INDEX(Lists!$B$5:$B$34,MATCH(B276,Lists!$A$5:$A$34,0)),"")</f>
        <v>Kai Ashby</v>
      </c>
      <c r="D276" s="8" t="str">
        <f>IFERROR(INDEX(Lists!$C$5:$C$34,MATCH(B276,Lists!$A$5:$A$34,0)),"")</f>
        <v>Safety Advisor</v>
      </c>
      <c r="E276" s="9">
        <v>46279</v>
      </c>
      <c r="F276" s="10" t="str">
        <f t="shared" si="28"/>
        <v>Mon</v>
      </c>
      <c r="G276" s="7" t="s">
        <v>46</v>
      </c>
      <c r="H276" s="8" t="str">
        <f>IFERROR(INDEX(Lists!$F$5:$F$9,MATCH(G276,Lists!$E$5:$E$9,0)),"")</f>
        <v>Birchwood Midstream (fictional)</v>
      </c>
      <c r="I276" s="8" t="str">
        <f>IFERROR(INDEX(Lists!$G$5:$G$9,MATCH(G276,Lists!$E$5:$E$9,0)),"")</f>
        <v>Y</v>
      </c>
      <c r="J276" s="11">
        <v>8</v>
      </c>
      <c r="K276" s="12">
        <v>103</v>
      </c>
      <c r="L276" s="13">
        <f>IF(I276&lt;&gt;"Y","",IFERROR(INDEX(Lists!$L$5:$L$20,MATCH(D276&amp;"|"&amp;G276,Lists!$I$5:$I$20,0)),""))</f>
        <v>103</v>
      </c>
      <c r="M276" s="10" t="str">
        <f t="shared" si="29"/>
        <v>E026|20260914|P102</v>
      </c>
      <c r="N276" s="10" t="str">
        <f>IF(COUNTIFS($M$5:M276,M276)&gt;1,"DUPLICATE","")</f>
        <v/>
      </c>
      <c r="O276" s="10" t="str">
        <f t="shared" si="30"/>
        <v/>
      </c>
      <c r="P276" s="10" t="str">
        <f t="shared" si="31"/>
        <v/>
      </c>
      <c r="Q276" s="10" t="str">
        <f>IF(COUNTIF(Lists!$E$5:$E$9,G276)=0,"PROJECT?","")</f>
        <v/>
      </c>
      <c r="R276" s="10" t="str">
        <f t="shared" si="32"/>
        <v/>
      </c>
      <c r="S276" s="10" t="str">
        <f>IF(AND(I276="Y",N276="",COUNTIF(Billing_Data!$H$5:$H$319,M276)=0),"NOT BILLED","")</f>
        <v/>
      </c>
      <c r="T276" s="14">
        <f t="shared" si="33"/>
        <v>0</v>
      </c>
      <c r="U276" s="15">
        <f t="shared" si="34"/>
        <v>824</v>
      </c>
    </row>
    <row r="277" spans="1:21" x14ac:dyDescent="0.25">
      <c r="A277" s="7" t="s">
        <v>343</v>
      </c>
      <c r="B277" s="7" t="s">
        <v>342</v>
      </c>
      <c r="C277" s="8" t="str">
        <f>IFERROR(INDEX(Lists!$B$5:$B$34,MATCH(B277,Lists!$A$5:$A$34,0)),"")</f>
        <v>Kai Ashby</v>
      </c>
      <c r="D277" s="8" t="str">
        <f>IFERROR(INDEX(Lists!$C$5:$C$34,MATCH(B277,Lists!$A$5:$A$34,0)),"")</f>
        <v>Safety Advisor</v>
      </c>
      <c r="E277" s="9">
        <v>46280</v>
      </c>
      <c r="F277" s="10" t="str">
        <f t="shared" si="28"/>
        <v>Tue</v>
      </c>
      <c r="G277" s="7" t="s">
        <v>46</v>
      </c>
      <c r="H277" s="8" t="str">
        <f>IFERROR(INDEX(Lists!$F$5:$F$9,MATCH(G277,Lists!$E$5:$E$9,0)),"")</f>
        <v>Birchwood Midstream (fictional)</v>
      </c>
      <c r="I277" s="8" t="str">
        <f>IFERROR(INDEX(Lists!$G$5:$G$9,MATCH(G277,Lists!$E$5:$E$9,0)),"")</f>
        <v>Y</v>
      </c>
      <c r="J277" s="11">
        <v>8</v>
      </c>
      <c r="K277" s="12">
        <v>103</v>
      </c>
      <c r="L277" s="13">
        <f>IF(I277&lt;&gt;"Y","",IFERROR(INDEX(Lists!$L$5:$L$20,MATCH(D277&amp;"|"&amp;G277,Lists!$I$5:$I$20,0)),""))</f>
        <v>103</v>
      </c>
      <c r="M277" s="10" t="str">
        <f t="shared" si="29"/>
        <v>E026|20260915|P102</v>
      </c>
      <c r="N277" s="10" t="str">
        <f>IF(COUNTIFS($M$5:M277,M277)&gt;1,"DUPLICATE","")</f>
        <v/>
      </c>
      <c r="O277" s="10" t="str">
        <f t="shared" si="30"/>
        <v/>
      </c>
      <c r="P277" s="10" t="str">
        <f t="shared" si="31"/>
        <v/>
      </c>
      <c r="Q277" s="10" t="str">
        <f>IF(COUNTIF(Lists!$E$5:$E$9,G277)=0,"PROJECT?","")</f>
        <v/>
      </c>
      <c r="R277" s="10" t="str">
        <f t="shared" si="32"/>
        <v/>
      </c>
      <c r="S277" s="10" t="str">
        <f>IF(AND(I277="Y",N277="",COUNTIF(Billing_Data!$H$5:$H$319,M277)=0),"NOT BILLED","")</f>
        <v/>
      </c>
      <c r="T277" s="14">
        <f t="shared" si="33"/>
        <v>0</v>
      </c>
      <c r="U277" s="15">
        <f t="shared" si="34"/>
        <v>824</v>
      </c>
    </row>
    <row r="278" spans="1:21" x14ac:dyDescent="0.25">
      <c r="A278" s="7" t="s">
        <v>344</v>
      </c>
      <c r="B278" s="7" t="s">
        <v>342</v>
      </c>
      <c r="C278" s="8" t="str">
        <f>IFERROR(INDEX(Lists!$B$5:$B$34,MATCH(B278,Lists!$A$5:$A$34,0)),"")</f>
        <v>Kai Ashby</v>
      </c>
      <c r="D278" s="8" t="str">
        <f>IFERROR(INDEX(Lists!$C$5:$C$34,MATCH(B278,Lists!$A$5:$A$34,0)),"")</f>
        <v>Safety Advisor</v>
      </c>
      <c r="E278" s="9">
        <v>46281</v>
      </c>
      <c r="F278" s="10" t="str">
        <f t="shared" si="28"/>
        <v>Wed</v>
      </c>
      <c r="G278" s="7" t="s">
        <v>46</v>
      </c>
      <c r="H278" s="8" t="str">
        <f>IFERROR(INDEX(Lists!$F$5:$F$9,MATCH(G278,Lists!$E$5:$E$9,0)),"")</f>
        <v>Birchwood Midstream (fictional)</v>
      </c>
      <c r="I278" s="8" t="str">
        <f>IFERROR(INDEX(Lists!$G$5:$G$9,MATCH(G278,Lists!$E$5:$E$9,0)),"")</f>
        <v>Y</v>
      </c>
      <c r="J278" s="11">
        <v>8</v>
      </c>
      <c r="K278" s="12">
        <v>103</v>
      </c>
      <c r="L278" s="13">
        <f>IF(I278&lt;&gt;"Y","",IFERROR(INDEX(Lists!$L$5:$L$20,MATCH(D278&amp;"|"&amp;G278,Lists!$I$5:$I$20,0)),""))</f>
        <v>103</v>
      </c>
      <c r="M278" s="10" t="str">
        <f t="shared" si="29"/>
        <v>E026|20260916|P102</v>
      </c>
      <c r="N278" s="10" t="str">
        <f>IF(COUNTIFS($M$5:M278,M278)&gt;1,"DUPLICATE","")</f>
        <v/>
      </c>
      <c r="O278" s="10" t="str">
        <f t="shared" si="30"/>
        <v/>
      </c>
      <c r="P278" s="10" t="str">
        <f t="shared" si="31"/>
        <v/>
      </c>
      <c r="Q278" s="10" t="str">
        <f>IF(COUNTIF(Lists!$E$5:$E$9,G278)=0,"PROJECT?","")</f>
        <v/>
      </c>
      <c r="R278" s="10" t="str">
        <f t="shared" si="32"/>
        <v/>
      </c>
      <c r="S278" s="10" t="str">
        <f>IF(AND(I278="Y",N278="",COUNTIF(Billing_Data!$H$5:$H$319,M278)=0),"NOT BILLED","")</f>
        <v/>
      </c>
      <c r="T278" s="14">
        <f t="shared" si="33"/>
        <v>0</v>
      </c>
      <c r="U278" s="15">
        <f t="shared" si="34"/>
        <v>824</v>
      </c>
    </row>
    <row r="279" spans="1:21" x14ac:dyDescent="0.25">
      <c r="A279" s="7" t="s">
        <v>345</v>
      </c>
      <c r="B279" s="7" t="s">
        <v>342</v>
      </c>
      <c r="C279" s="8" t="str">
        <f>IFERROR(INDEX(Lists!$B$5:$B$34,MATCH(B279,Lists!$A$5:$A$34,0)),"")</f>
        <v>Kai Ashby</v>
      </c>
      <c r="D279" s="8" t="str">
        <f>IFERROR(INDEX(Lists!$C$5:$C$34,MATCH(B279,Lists!$A$5:$A$34,0)),"")</f>
        <v>Safety Advisor</v>
      </c>
      <c r="E279" s="9">
        <v>46282</v>
      </c>
      <c r="F279" s="10" t="str">
        <f t="shared" si="28"/>
        <v>Thu</v>
      </c>
      <c r="G279" s="7" t="s">
        <v>46</v>
      </c>
      <c r="H279" s="8" t="str">
        <f>IFERROR(INDEX(Lists!$F$5:$F$9,MATCH(G279,Lists!$E$5:$E$9,0)),"")</f>
        <v>Birchwood Midstream (fictional)</v>
      </c>
      <c r="I279" s="8" t="str">
        <f>IFERROR(INDEX(Lists!$G$5:$G$9,MATCH(G279,Lists!$E$5:$E$9,0)),"")</f>
        <v>Y</v>
      </c>
      <c r="J279" s="11">
        <v>8</v>
      </c>
      <c r="K279" s="12">
        <v>103</v>
      </c>
      <c r="L279" s="13">
        <f>IF(I279&lt;&gt;"Y","",IFERROR(INDEX(Lists!$L$5:$L$20,MATCH(D279&amp;"|"&amp;G279,Lists!$I$5:$I$20,0)),""))</f>
        <v>103</v>
      </c>
      <c r="M279" s="10" t="str">
        <f t="shared" si="29"/>
        <v>E026|20260917|P102</v>
      </c>
      <c r="N279" s="10" t="str">
        <f>IF(COUNTIFS($M$5:M279,M279)&gt;1,"DUPLICATE","")</f>
        <v/>
      </c>
      <c r="O279" s="10" t="str">
        <f t="shared" si="30"/>
        <v/>
      </c>
      <c r="P279" s="10" t="str">
        <f t="shared" si="31"/>
        <v/>
      </c>
      <c r="Q279" s="10" t="str">
        <f>IF(COUNTIF(Lists!$E$5:$E$9,G279)=0,"PROJECT?","")</f>
        <v/>
      </c>
      <c r="R279" s="10" t="str">
        <f t="shared" si="32"/>
        <v/>
      </c>
      <c r="S279" s="10" t="str">
        <f>IF(AND(I279="Y",N279="",COUNTIF(Billing_Data!$H$5:$H$319,M279)=0),"NOT BILLED","")</f>
        <v/>
      </c>
      <c r="T279" s="14">
        <f t="shared" si="33"/>
        <v>0</v>
      </c>
      <c r="U279" s="15">
        <f t="shared" si="34"/>
        <v>824</v>
      </c>
    </row>
    <row r="280" spans="1:21" x14ac:dyDescent="0.25">
      <c r="A280" s="7" t="s">
        <v>346</v>
      </c>
      <c r="B280" s="7" t="s">
        <v>342</v>
      </c>
      <c r="C280" s="8" t="str">
        <f>IFERROR(INDEX(Lists!$B$5:$B$34,MATCH(B280,Lists!$A$5:$A$34,0)),"")</f>
        <v>Kai Ashby</v>
      </c>
      <c r="D280" s="8" t="str">
        <f>IFERROR(INDEX(Lists!$C$5:$C$34,MATCH(B280,Lists!$A$5:$A$34,0)),"")</f>
        <v>Safety Advisor</v>
      </c>
      <c r="E280" s="9">
        <v>46283</v>
      </c>
      <c r="F280" s="10" t="str">
        <f t="shared" si="28"/>
        <v>Fri</v>
      </c>
      <c r="G280" s="7" t="s">
        <v>46</v>
      </c>
      <c r="H280" s="8" t="str">
        <f>IFERROR(INDEX(Lists!$F$5:$F$9,MATCH(G280,Lists!$E$5:$E$9,0)),"")</f>
        <v>Birchwood Midstream (fictional)</v>
      </c>
      <c r="I280" s="8" t="str">
        <f>IFERROR(INDEX(Lists!$G$5:$G$9,MATCH(G280,Lists!$E$5:$E$9,0)),"")</f>
        <v>Y</v>
      </c>
      <c r="J280" s="11">
        <v>8</v>
      </c>
      <c r="K280" s="12">
        <v>103</v>
      </c>
      <c r="L280" s="13">
        <f>IF(I280&lt;&gt;"Y","",IFERROR(INDEX(Lists!$L$5:$L$20,MATCH(D280&amp;"|"&amp;G280,Lists!$I$5:$I$20,0)),""))</f>
        <v>103</v>
      </c>
      <c r="M280" s="10" t="str">
        <f t="shared" si="29"/>
        <v>E026|20260918|P102</v>
      </c>
      <c r="N280" s="10" t="str">
        <f>IF(COUNTIFS($M$5:M280,M280)&gt;1,"DUPLICATE","")</f>
        <v/>
      </c>
      <c r="O280" s="10" t="str">
        <f t="shared" si="30"/>
        <v/>
      </c>
      <c r="P280" s="10" t="str">
        <f t="shared" si="31"/>
        <v/>
      </c>
      <c r="Q280" s="10" t="str">
        <f>IF(COUNTIF(Lists!$E$5:$E$9,G280)=0,"PROJECT?","")</f>
        <v/>
      </c>
      <c r="R280" s="10" t="str">
        <f t="shared" si="32"/>
        <v/>
      </c>
      <c r="S280" s="10" t="str">
        <f>IF(AND(I280="Y",N280="",COUNTIF(Billing_Data!$H$5:$H$319,M280)=0),"NOT BILLED","")</f>
        <v/>
      </c>
      <c r="T280" s="14">
        <f t="shared" si="33"/>
        <v>0</v>
      </c>
      <c r="U280" s="15">
        <f t="shared" si="34"/>
        <v>824</v>
      </c>
    </row>
    <row r="281" spans="1:21" x14ac:dyDescent="0.25">
      <c r="A281" s="7" t="s">
        <v>347</v>
      </c>
      <c r="B281" s="7" t="s">
        <v>342</v>
      </c>
      <c r="C281" s="8" t="str">
        <f>IFERROR(INDEX(Lists!$B$5:$B$34,MATCH(B281,Lists!$A$5:$A$34,0)),"")</f>
        <v>Kai Ashby</v>
      </c>
      <c r="D281" s="8" t="str">
        <f>IFERROR(INDEX(Lists!$C$5:$C$34,MATCH(B281,Lists!$A$5:$A$34,0)),"")</f>
        <v>Safety Advisor</v>
      </c>
      <c r="E281" s="9">
        <v>46286</v>
      </c>
      <c r="F281" s="10" t="str">
        <f t="shared" si="28"/>
        <v>Mon</v>
      </c>
      <c r="G281" s="7" t="s">
        <v>46</v>
      </c>
      <c r="H281" s="8" t="str">
        <f>IFERROR(INDEX(Lists!$F$5:$F$9,MATCH(G281,Lists!$E$5:$E$9,0)),"")</f>
        <v>Birchwood Midstream (fictional)</v>
      </c>
      <c r="I281" s="8" t="str">
        <f>IFERROR(INDEX(Lists!$G$5:$G$9,MATCH(G281,Lists!$E$5:$E$9,0)),"")</f>
        <v>Y</v>
      </c>
      <c r="J281" s="11">
        <v>8</v>
      </c>
      <c r="K281" s="12">
        <v>103</v>
      </c>
      <c r="L281" s="13">
        <f>IF(I281&lt;&gt;"Y","",IFERROR(INDEX(Lists!$L$5:$L$20,MATCH(D281&amp;"|"&amp;G281,Lists!$I$5:$I$20,0)),""))</f>
        <v>103</v>
      </c>
      <c r="M281" s="10" t="str">
        <f t="shared" si="29"/>
        <v>E026|20260921|P102</v>
      </c>
      <c r="N281" s="10" t="str">
        <f>IF(COUNTIFS($M$5:M281,M281)&gt;1,"DUPLICATE","")</f>
        <v/>
      </c>
      <c r="O281" s="10" t="str">
        <f t="shared" si="30"/>
        <v/>
      </c>
      <c r="P281" s="10" t="str">
        <f t="shared" si="31"/>
        <v/>
      </c>
      <c r="Q281" s="10" t="str">
        <f>IF(COUNTIF(Lists!$E$5:$E$9,G281)=0,"PROJECT?","")</f>
        <v/>
      </c>
      <c r="R281" s="10" t="str">
        <f t="shared" si="32"/>
        <v/>
      </c>
      <c r="S281" s="10" t="str">
        <f>IF(AND(I281="Y",N281="",COUNTIF(Billing_Data!$H$5:$H$319,M281)=0),"NOT BILLED","")</f>
        <v/>
      </c>
      <c r="T281" s="14">
        <f t="shared" si="33"/>
        <v>0</v>
      </c>
      <c r="U281" s="15">
        <f t="shared" si="34"/>
        <v>824</v>
      </c>
    </row>
    <row r="282" spans="1:21" x14ac:dyDescent="0.25">
      <c r="A282" s="7" t="s">
        <v>348</v>
      </c>
      <c r="B282" s="7" t="s">
        <v>342</v>
      </c>
      <c r="C282" s="8" t="str">
        <f>IFERROR(INDEX(Lists!$B$5:$B$34,MATCH(B282,Lists!$A$5:$A$34,0)),"")</f>
        <v>Kai Ashby</v>
      </c>
      <c r="D282" s="8" t="str">
        <f>IFERROR(INDEX(Lists!$C$5:$C$34,MATCH(B282,Lists!$A$5:$A$34,0)),"")</f>
        <v>Safety Advisor</v>
      </c>
      <c r="E282" s="9">
        <v>46287</v>
      </c>
      <c r="F282" s="10" t="str">
        <f t="shared" si="28"/>
        <v>Tue</v>
      </c>
      <c r="G282" s="7" t="s">
        <v>46</v>
      </c>
      <c r="H282" s="8" t="str">
        <f>IFERROR(INDEX(Lists!$F$5:$F$9,MATCH(G282,Lists!$E$5:$E$9,0)),"")</f>
        <v>Birchwood Midstream (fictional)</v>
      </c>
      <c r="I282" s="8" t="str">
        <f>IFERROR(INDEX(Lists!$G$5:$G$9,MATCH(G282,Lists!$E$5:$E$9,0)),"")</f>
        <v>Y</v>
      </c>
      <c r="J282" s="11">
        <v>8</v>
      </c>
      <c r="K282" s="12">
        <v>103</v>
      </c>
      <c r="L282" s="13">
        <f>IF(I282&lt;&gt;"Y","",IFERROR(INDEX(Lists!$L$5:$L$20,MATCH(D282&amp;"|"&amp;G282,Lists!$I$5:$I$20,0)),""))</f>
        <v>103</v>
      </c>
      <c r="M282" s="10" t="str">
        <f t="shared" si="29"/>
        <v>E026|20260922|P102</v>
      </c>
      <c r="N282" s="10" t="str">
        <f>IF(COUNTIFS($M$5:M282,M282)&gt;1,"DUPLICATE","")</f>
        <v/>
      </c>
      <c r="O282" s="10" t="str">
        <f t="shared" si="30"/>
        <v/>
      </c>
      <c r="P282" s="10" t="str">
        <f t="shared" si="31"/>
        <v/>
      </c>
      <c r="Q282" s="10" t="str">
        <f>IF(COUNTIF(Lists!$E$5:$E$9,G282)=0,"PROJECT?","")</f>
        <v/>
      </c>
      <c r="R282" s="10" t="str">
        <f t="shared" si="32"/>
        <v/>
      </c>
      <c r="S282" s="10" t="str">
        <f>IF(AND(I282="Y",N282="",COUNTIF(Billing_Data!$H$5:$H$319,M282)=0),"NOT BILLED","")</f>
        <v/>
      </c>
      <c r="T282" s="14">
        <f t="shared" si="33"/>
        <v>0</v>
      </c>
      <c r="U282" s="15">
        <f t="shared" si="34"/>
        <v>824</v>
      </c>
    </row>
    <row r="283" spans="1:21" x14ac:dyDescent="0.25">
      <c r="A283" s="7" t="s">
        <v>349</v>
      </c>
      <c r="B283" s="7" t="s">
        <v>342</v>
      </c>
      <c r="C283" s="8" t="str">
        <f>IFERROR(INDEX(Lists!$B$5:$B$34,MATCH(B283,Lists!$A$5:$A$34,0)),"")</f>
        <v>Kai Ashby</v>
      </c>
      <c r="D283" s="8" t="str">
        <f>IFERROR(INDEX(Lists!$C$5:$C$34,MATCH(B283,Lists!$A$5:$A$34,0)),"")</f>
        <v>Safety Advisor</v>
      </c>
      <c r="E283" s="9">
        <v>46288</v>
      </c>
      <c r="F283" s="10" t="str">
        <f t="shared" si="28"/>
        <v>Wed</v>
      </c>
      <c r="G283" s="7" t="s">
        <v>46</v>
      </c>
      <c r="H283" s="8" t="str">
        <f>IFERROR(INDEX(Lists!$F$5:$F$9,MATCH(G283,Lists!$E$5:$E$9,0)),"")</f>
        <v>Birchwood Midstream (fictional)</v>
      </c>
      <c r="I283" s="8" t="str">
        <f>IFERROR(INDEX(Lists!$G$5:$G$9,MATCH(G283,Lists!$E$5:$E$9,0)),"")</f>
        <v>Y</v>
      </c>
      <c r="J283" s="11">
        <v>8</v>
      </c>
      <c r="K283" s="12">
        <v>103</v>
      </c>
      <c r="L283" s="13">
        <f>IF(I283&lt;&gt;"Y","",IFERROR(INDEX(Lists!$L$5:$L$20,MATCH(D283&amp;"|"&amp;G283,Lists!$I$5:$I$20,0)),""))</f>
        <v>103</v>
      </c>
      <c r="M283" s="10" t="str">
        <f t="shared" si="29"/>
        <v>E026|20260923|P102</v>
      </c>
      <c r="N283" s="10" t="str">
        <f>IF(COUNTIFS($M$5:M283,M283)&gt;1,"DUPLICATE","")</f>
        <v/>
      </c>
      <c r="O283" s="10" t="str">
        <f t="shared" si="30"/>
        <v/>
      </c>
      <c r="P283" s="10" t="str">
        <f t="shared" si="31"/>
        <v/>
      </c>
      <c r="Q283" s="10" t="str">
        <f>IF(COUNTIF(Lists!$E$5:$E$9,G283)=0,"PROJECT?","")</f>
        <v/>
      </c>
      <c r="R283" s="10" t="str">
        <f t="shared" si="32"/>
        <v/>
      </c>
      <c r="S283" s="10" t="str">
        <f>IF(AND(I283="Y",N283="",COUNTIF(Billing_Data!$H$5:$H$319,M283)=0),"NOT BILLED","")</f>
        <v/>
      </c>
      <c r="T283" s="14">
        <f t="shared" si="33"/>
        <v>0</v>
      </c>
      <c r="U283" s="15">
        <f t="shared" si="34"/>
        <v>824</v>
      </c>
    </row>
    <row r="284" spans="1:21" x14ac:dyDescent="0.25">
      <c r="A284" s="7" t="s">
        <v>350</v>
      </c>
      <c r="B284" s="7" t="s">
        <v>342</v>
      </c>
      <c r="C284" s="8" t="str">
        <f>IFERROR(INDEX(Lists!$B$5:$B$34,MATCH(B284,Lists!$A$5:$A$34,0)),"")</f>
        <v>Kai Ashby</v>
      </c>
      <c r="D284" s="8" t="str">
        <f>IFERROR(INDEX(Lists!$C$5:$C$34,MATCH(B284,Lists!$A$5:$A$34,0)),"")</f>
        <v>Safety Advisor</v>
      </c>
      <c r="E284" s="9">
        <v>46289</v>
      </c>
      <c r="F284" s="10" t="str">
        <f t="shared" si="28"/>
        <v>Thu</v>
      </c>
      <c r="G284" s="7" t="s">
        <v>46</v>
      </c>
      <c r="H284" s="8" t="str">
        <f>IFERROR(INDEX(Lists!$F$5:$F$9,MATCH(G284,Lists!$E$5:$E$9,0)),"")</f>
        <v>Birchwood Midstream (fictional)</v>
      </c>
      <c r="I284" s="8" t="str">
        <f>IFERROR(INDEX(Lists!$G$5:$G$9,MATCH(G284,Lists!$E$5:$E$9,0)),"")</f>
        <v>Y</v>
      </c>
      <c r="J284" s="11">
        <v>8</v>
      </c>
      <c r="K284" s="12">
        <v>103</v>
      </c>
      <c r="L284" s="13">
        <f>IF(I284&lt;&gt;"Y","",IFERROR(INDEX(Lists!$L$5:$L$20,MATCH(D284&amp;"|"&amp;G284,Lists!$I$5:$I$20,0)),""))</f>
        <v>103</v>
      </c>
      <c r="M284" s="10" t="str">
        <f t="shared" si="29"/>
        <v>E026|20260924|P102</v>
      </c>
      <c r="N284" s="10" t="str">
        <f>IF(COUNTIFS($M$5:M284,M284)&gt;1,"DUPLICATE","")</f>
        <v/>
      </c>
      <c r="O284" s="10" t="str">
        <f t="shared" si="30"/>
        <v/>
      </c>
      <c r="P284" s="10" t="str">
        <f t="shared" si="31"/>
        <v/>
      </c>
      <c r="Q284" s="10" t="str">
        <f>IF(COUNTIF(Lists!$E$5:$E$9,G284)=0,"PROJECT?","")</f>
        <v/>
      </c>
      <c r="R284" s="10" t="str">
        <f t="shared" si="32"/>
        <v/>
      </c>
      <c r="S284" s="10" t="str">
        <f>IF(AND(I284="Y",N284="",COUNTIF(Billing_Data!$H$5:$H$319,M284)=0),"NOT BILLED","")</f>
        <v/>
      </c>
      <c r="T284" s="14">
        <f t="shared" si="33"/>
        <v>0</v>
      </c>
      <c r="U284" s="15">
        <f t="shared" si="34"/>
        <v>824</v>
      </c>
    </row>
    <row r="285" spans="1:21" x14ac:dyDescent="0.25">
      <c r="A285" s="7" t="s">
        <v>351</v>
      </c>
      <c r="B285" s="7" t="s">
        <v>352</v>
      </c>
      <c r="C285" s="8" t="str">
        <f>IFERROR(INDEX(Lists!$B$5:$B$34,MATCH(B285,Lists!$A$5:$A$34,0)),"")</f>
        <v>Lane Bishop</v>
      </c>
      <c r="D285" s="8" t="str">
        <f>IFERROR(INDEX(Lists!$C$5:$C$34,MATCH(B285,Lists!$A$5:$A$34,0)),"")</f>
        <v>Safety Advisor</v>
      </c>
      <c r="E285" s="9">
        <v>46279</v>
      </c>
      <c r="F285" s="10" t="str">
        <f t="shared" si="28"/>
        <v>Mon</v>
      </c>
      <c r="G285" s="7" t="s">
        <v>50</v>
      </c>
      <c r="H285" s="8" t="str">
        <f>IFERROR(INDEX(Lists!$F$5:$F$9,MATCH(G285,Lists!$E$5:$E$9,0)),"")</f>
        <v>Cedar Industrial (fictional)</v>
      </c>
      <c r="I285" s="8" t="str">
        <f>IFERROR(INDEX(Lists!$G$5:$G$9,MATCH(G285,Lists!$E$5:$E$9,0)),"")</f>
        <v>Y</v>
      </c>
      <c r="J285" s="11">
        <v>8</v>
      </c>
      <c r="K285" s="12">
        <v>93</v>
      </c>
      <c r="L285" s="13">
        <f>IF(I285&lt;&gt;"Y","",IFERROR(INDEX(Lists!$L$5:$L$20,MATCH(D285&amp;"|"&amp;G285,Lists!$I$5:$I$20,0)),""))</f>
        <v>93</v>
      </c>
      <c r="M285" s="10" t="str">
        <f t="shared" si="29"/>
        <v>E027|20260914|P103</v>
      </c>
      <c r="N285" s="10" t="str">
        <f>IF(COUNTIFS($M$5:M285,M285)&gt;1,"DUPLICATE","")</f>
        <v/>
      </c>
      <c r="O285" s="10" t="str">
        <f t="shared" si="30"/>
        <v/>
      </c>
      <c r="P285" s="10" t="str">
        <f t="shared" si="31"/>
        <v/>
      </c>
      <c r="Q285" s="10" t="str">
        <f>IF(COUNTIF(Lists!$E$5:$E$9,G285)=0,"PROJECT?","")</f>
        <v/>
      </c>
      <c r="R285" s="10" t="str">
        <f t="shared" si="32"/>
        <v/>
      </c>
      <c r="S285" s="10" t="str">
        <f>IF(AND(I285="Y",N285="",COUNTIF(Billing_Data!$H$5:$H$319,M285)=0),"NOT BILLED","")</f>
        <v/>
      </c>
      <c r="T285" s="14">
        <f t="shared" si="33"/>
        <v>0</v>
      </c>
      <c r="U285" s="15">
        <f t="shared" si="34"/>
        <v>744</v>
      </c>
    </row>
    <row r="286" spans="1:21" x14ac:dyDescent="0.25">
      <c r="A286" s="7" t="s">
        <v>353</v>
      </c>
      <c r="B286" s="7" t="s">
        <v>352</v>
      </c>
      <c r="C286" s="8" t="str">
        <f>IFERROR(INDEX(Lists!$B$5:$B$34,MATCH(B286,Lists!$A$5:$A$34,0)),"")</f>
        <v>Lane Bishop</v>
      </c>
      <c r="D286" s="8" t="str">
        <f>IFERROR(INDEX(Lists!$C$5:$C$34,MATCH(B286,Lists!$A$5:$A$34,0)),"")</f>
        <v>Safety Advisor</v>
      </c>
      <c r="E286" s="9">
        <v>46280</v>
      </c>
      <c r="F286" s="10" t="str">
        <f t="shared" si="28"/>
        <v>Tue</v>
      </c>
      <c r="G286" s="7" t="s">
        <v>50</v>
      </c>
      <c r="H286" s="8" t="str">
        <f>IFERROR(INDEX(Lists!$F$5:$F$9,MATCH(G286,Lists!$E$5:$E$9,0)),"")</f>
        <v>Cedar Industrial (fictional)</v>
      </c>
      <c r="I286" s="8" t="str">
        <f>IFERROR(INDEX(Lists!$G$5:$G$9,MATCH(G286,Lists!$E$5:$E$9,0)),"")</f>
        <v>Y</v>
      </c>
      <c r="J286" s="11">
        <v>8</v>
      </c>
      <c r="K286" s="12">
        <v>93</v>
      </c>
      <c r="L286" s="13">
        <f>IF(I286&lt;&gt;"Y","",IFERROR(INDEX(Lists!$L$5:$L$20,MATCH(D286&amp;"|"&amp;G286,Lists!$I$5:$I$20,0)),""))</f>
        <v>93</v>
      </c>
      <c r="M286" s="10" t="str">
        <f t="shared" si="29"/>
        <v>E027|20260915|P103</v>
      </c>
      <c r="N286" s="10" t="str">
        <f>IF(COUNTIFS($M$5:M286,M286)&gt;1,"DUPLICATE","")</f>
        <v/>
      </c>
      <c r="O286" s="10" t="str">
        <f t="shared" si="30"/>
        <v/>
      </c>
      <c r="P286" s="10" t="str">
        <f t="shared" si="31"/>
        <v/>
      </c>
      <c r="Q286" s="10" t="str">
        <f>IF(COUNTIF(Lists!$E$5:$E$9,G286)=0,"PROJECT?","")</f>
        <v/>
      </c>
      <c r="R286" s="10" t="str">
        <f t="shared" si="32"/>
        <v/>
      </c>
      <c r="S286" s="10" t="str">
        <f>IF(AND(I286="Y",N286="",COUNTIF(Billing_Data!$H$5:$H$319,M286)=0),"NOT BILLED","")</f>
        <v/>
      </c>
      <c r="T286" s="14">
        <f t="shared" si="33"/>
        <v>0</v>
      </c>
      <c r="U286" s="15">
        <f t="shared" si="34"/>
        <v>744</v>
      </c>
    </row>
    <row r="287" spans="1:21" x14ac:dyDescent="0.25">
      <c r="A287" s="7" t="s">
        <v>354</v>
      </c>
      <c r="B287" s="7" t="s">
        <v>352</v>
      </c>
      <c r="C287" s="8" t="str">
        <f>IFERROR(INDEX(Lists!$B$5:$B$34,MATCH(B287,Lists!$A$5:$A$34,0)),"")</f>
        <v>Lane Bishop</v>
      </c>
      <c r="D287" s="8" t="str">
        <f>IFERROR(INDEX(Lists!$C$5:$C$34,MATCH(B287,Lists!$A$5:$A$34,0)),"")</f>
        <v>Safety Advisor</v>
      </c>
      <c r="E287" s="9">
        <v>46281</v>
      </c>
      <c r="F287" s="10" t="str">
        <f t="shared" si="28"/>
        <v>Wed</v>
      </c>
      <c r="G287" s="7" t="s">
        <v>50</v>
      </c>
      <c r="H287" s="8" t="str">
        <f>IFERROR(INDEX(Lists!$F$5:$F$9,MATCH(G287,Lists!$E$5:$E$9,0)),"")</f>
        <v>Cedar Industrial (fictional)</v>
      </c>
      <c r="I287" s="8" t="str">
        <f>IFERROR(INDEX(Lists!$G$5:$G$9,MATCH(G287,Lists!$E$5:$E$9,0)),"")</f>
        <v>Y</v>
      </c>
      <c r="J287" s="11">
        <v>8</v>
      </c>
      <c r="K287" s="12">
        <v>93</v>
      </c>
      <c r="L287" s="13">
        <f>IF(I287&lt;&gt;"Y","",IFERROR(INDEX(Lists!$L$5:$L$20,MATCH(D287&amp;"|"&amp;G287,Lists!$I$5:$I$20,0)),""))</f>
        <v>93</v>
      </c>
      <c r="M287" s="10" t="str">
        <f t="shared" si="29"/>
        <v>E027|20260916|P103</v>
      </c>
      <c r="N287" s="10" t="str">
        <f>IF(COUNTIFS($M$5:M287,M287)&gt;1,"DUPLICATE","")</f>
        <v/>
      </c>
      <c r="O287" s="10" t="str">
        <f t="shared" si="30"/>
        <v/>
      </c>
      <c r="P287" s="10" t="str">
        <f t="shared" si="31"/>
        <v/>
      </c>
      <c r="Q287" s="10" t="str">
        <f>IF(COUNTIF(Lists!$E$5:$E$9,G287)=0,"PROJECT?","")</f>
        <v/>
      </c>
      <c r="R287" s="10" t="str">
        <f t="shared" si="32"/>
        <v/>
      </c>
      <c r="S287" s="10" t="str">
        <f>IF(AND(I287="Y",N287="",COUNTIF(Billing_Data!$H$5:$H$319,M287)=0),"NOT BILLED","")</f>
        <v/>
      </c>
      <c r="T287" s="14">
        <f t="shared" si="33"/>
        <v>0</v>
      </c>
      <c r="U287" s="15">
        <f t="shared" si="34"/>
        <v>744</v>
      </c>
    </row>
    <row r="288" spans="1:21" x14ac:dyDescent="0.25">
      <c r="A288" s="7" t="s">
        <v>355</v>
      </c>
      <c r="B288" s="7" t="s">
        <v>352</v>
      </c>
      <c r="C288" s="8" t="str">
        <f>IFERROR(INDEX(Lists!$B$5:$B$34,MATCH(B288,Lists!$A$5:$A$34,0)),"")</f>
        <v>Lane Bishop</v>
      </c>
      <c r="D288" s="8" t="str">
        <f>IFERROR(INDEX(Lists!$C$5:$C$34,MATCH(B288,Lists!$A$5:$A$34,0)),"")</f>
        <v>Safety Advisor</v>
      </c>
      <c r="E288" s="9">
        <v>46282</v>
      </c>
      <c r="F288" s="10" t="str">
        <f t="shared" si="28"/>
        <v>Thu</v>
      </c>
      <c r="G288" s="7" t="s">
        <v>50</v>
      </c>
      <c r="H288" s="8" t="str">
        <f>IFERROR(INDEX(Lists!$F$5:$F$9,MATCH(G288,Lists!$E$5:$E$9,0)),"")</f>
        <v>Cedar Industrial (fictional)</v>
      </c>
      <c r="I288" s="8" t="str">
        <f>IFERROR(INDEX(Lists!$G$5:$G$9,MATCH(G288,Lists!$E$5:$E$9,0)),"")</f>
        <v>Y</v>
      </c>
      <c r="J288" s="11">
        <v>8</v>
      </c>
      <c r="K288" s="12">
        <v>93</v>
      </c>
      <c r="L288" s="13">
        <f>IF(I288&lt;&gt;"Y","",IFERROR(INDEX(Lists!$L$5:$L$20,MATCH(D288&amp;"|"&amp;G288,Lists!$I$5:$I$20,0)),""))</f>
        <v>93</v>
      </c>
      <c r="M288" s="10" t="str">
        <f t="shared" si="29"/>
        <v>E027|20260917|P103</v>
      </c>
      <c r="N288" s="10" t="str">
        <f>IF(COUNTIFS($M$5:M288,M288)&gt;1,"DUPLICATE","")</f>
        <v/>
      </c>
      <c r="O288" s="10" t="str">
        <f t="shared" si="30"/>
        <v/>
      </c>
      <c r="P288" s="10" t="str">
        <f t="shared" si="31"/>
        <v/>
      </c>
      <c r="Q288" s="10" t="str">
        <f>IF(COUNTIF(Lists!$E$5:$E$9,G288)=0,"PROJECT?","")</f>
        <v/>
      </c>
      <c r="R288" s="10" t="str">
        <f t="shared" si="32"/>
        <v/>
      </c>
      <c r="S288" s="10" t="str">
        <f>IF(AND(I288="Y",N288="",COUNTIF(Billing_Data!$H$5:$H$319,M288)=0),"NOT BILLED","")</f>
        <v/>
      </c>
      <c r="T288" s="14">
        <f t="shared" si="33"/>
        <v>0</v>
      </c>
      <c r="U288" s="15">
        <f t="shared" si="34"/>
        <v>744</v>
      </c>
    </row>
    <row r="289" spans="1:21" x14ac:dyDescent="0.25">
      <c r="A289" s="7" t="s">
        <v>356</v>
      </c>
      <c r="B289" s="7" t="s">
        <v>352</v>
      </c>
      <c r="C289" s="8" t="str">
        <f>IFERROR(INDEX(Lists!$B$5:$B$34,MATCH(B289,Lists!$A$5:$A$34,0)),"")</f>
        <v>Lane Bishop</v>
      </c>
      <c r="D289" s="8" t="str">
        <f>IFERROR(INDEX(Lists!$C$5:$C$34,MATCH(B289,Lists!$A$5:$A$34,0)),"")</f>
        <v>Safety Advisor</v>
      </c>
      <c r="E289" s="9">
        <v>46283</v>
      </c>
      <c r="F289" s="10" t="str">
        <f t="shared" si="28"/>
        <v>Fri</v>
      </c>
      <c r="G289" s="7" t="s">
        <v>50</v>
      </c>
      <c r="H289" s="8" t="str">
        <f>IFERROR(INDEX(Lists!$F$5:$F$9,MATCH(G289,Lists!$E$5:$E$9,0)),"")</f>
        <v>Cedar Industrial (fictional)</v>
      </c>
      <c r="I289" s="8" t="str">
        <f>IFERROR(INDEX(Lists!$G$5:$G$9,MATCH(G289,Lists!$E$5:$E$9,0)),"")</f>
        <v>Y</v>
      </c>
      <c r="J289" s="11">
        <v>8</v>
      </c>
      <c r="K289" s="12">
        <v>93</v>
      </c>
      <c r="L289" s="13">
        <f>IF(I289&lt;&gt;"Y","",IFERROR(INDEX(Lists!$L$5:$L$20,MATCH(D289&amp;"|"&amp;G289,Lists!$I$5:$I$20,0)),""))</f>
        <v>93</v>
      </c>
      <c r="M289" s="10" t="str">
        <f t="shared" si="29"/>
        <v>E027|20260918|P103</v>
      </c>
      <c r="N289" s="10" t="str">
        <f>IF(COUNTIFS($M$5:M289,M289)&gt;1,"DUPLICATE","")</f>
        <v/>
      </c>
      <c r="O289" s="10" t="str">
        <f t="shared" si="30"/>
        <v/>
      </c>
      <c r="P289" s="10" t="str">
        <f t="shared" si="31"/>
        <v/>
      </c>
      <c r="Q289" s="10" t="str">
        <f>IF(COUNTIF(Lists!$E$5:$E$9,G289)=0,"PROJECT?","")</f>
        <v/>
      </c>
      <c r="R289" s="10" t="str">
        <f t="shared" si="32"/>
        <v/>
      </c>
      <c r="S289" s="10" t="str">
        <f>IF(AND(I289="Y",N289="",COUNTIF(Billing_Data!$H$5:$H$319,M289)=0),"NOT BILLED","")</f>
        <v/>
      </c>
      <c r="T289" s="14">
        <f t="shared" si="33"/>
        <v>0</v>
      </c>
      <c r="U289" s="15">
        <f t="shared" si="34"/>
        <v>744</v>
      </c>
    </row>
    <row r="290" spans="1:21" x14ac:dyDescent="0.25">
      <c r="A290" s="7" t="s">
        <v>357</v>
      </c>
      <c r="B290" s="7" t="s">
        <v>352</v>
      </c>
      <c r="C290" s="8" t="str">
        <f>IFERROR(INDEX(Lists!$B$5:$B$34,MATCH(B290,Lists!$A$5:$A$34,0)),"")</f>
        <v>Lane Bishop</v>
      </c>
      <c r="D290" s="8" t="str">
        <f>IFERROR(INDEX(Lists!$C$5:$C$34,MATCH(B290,Lists!$A$5:$A$34,0)),"")</f>
        <v>Safety Advisor</v>
      </c>
      <c r="E290" s="9">
        <v>46286</v>
      </c>
      <c r="F290" s="10" t="str">
        <f t="shared" si="28"/>
        <v>Mon</v>
      </c>
      <c r="G290" s="7" t="s">
        <v>50</v>
      </c>
      <c r="H290" s="8" t="str">
        <f>IFERROR(INDEX(Lists!$F$5:$F$9,MATCH(G290,Lists!$E$5:$E$9,0)),"")</f>
        <v>Cedar Industrial (fictional)</v>
      </c>
      <c r="I290" s="8" t="str">
        <f>IFERROR(INDEX(Lists!$G$5:$G$9,MATCH(G290,Lists!$E$5:$E$9,0)),"")</f>
        <v>Y</v>
      </c>
      <c r="J290" s="11">
        <v>8</v>
      </c>
      <c r="K290" s="12">
        <v>93</v>
      </c>
      <c r="L290" s="13">
        <f>IF(I290&lt;&gt;"Y","",IFERROR(INDEX(Lists!$L$5:$L$20,MATCH(D290&amp;"|"&amp;G290,Lists!$I$5:$I$20,0)),""))</f>
        <v>93</v>
      </c>
      <c r="M290" s="10" t="str">
        <f t="shared" si="29"/>
        <v>E027|20260921|P103</v>
      </c>
      <c r="N290" s="10" t="str">
        <f>IF(COUNTIFS($M$5:M290,M290)&gt;1,"DUPLICATE","")</f>
        <v/>
      </c>
      <c r="O290" s="10" t="str">
        <f t="shared" si="30"/>
        <v/>
      </c>
      <c r="P290" s="10" t="str">
        <f t="shared" si="31"/>
        <v/>
      </c>
      <c r="Q290" s="10" t="str">
        <f>IF(COUNTIF(Lists!$E$5:$E$9,G290)=0,"PROJECT?","")</f>
        <v/>
      </c>
      <c r="R290" s="10" t="str">
        <f t="shared" si="32"/>
        <v/>
      </c>
      <c r="S290" s="10" t="str">
        <f>IF(AND(I290="Y",N290="",COUNTIF(Billing_Data!$H$5:$H$319,M290)=0),"NOT BILLED","")</f>
        <v/>
      </c>
      <c r="T290" s="14">
        <f t="shared" si="33"/>
        <v>0</v>
      </c>
      <c r="U290" s="15">
        <f t="shared" si="34"/>
        <v>744</v>
      </c>
    </row>
    <row r="291" spans="1:21" x14ac:dyDescent="0.25">
      <c r="A291" s="7" t="s">
        <v>358</v>
      </c>
      <c r="B291" s="7" t="s">
        <v>352</v>
      </c>
      <c r="C291" s="8" t="str">
        <f>IFERROR(INDEX(Lists!$B$5:$B$34,MATCH(B291,Lists!$A$5:$A$34,0)),"")</f>
        <v>Lane Bishop</v>
      </c>
      <c r="D291" s="8" t="str">
        <f>IFERROR(INDEX(Lists!$C$5:$C$34,MATCH(B291,Lists!$A$5:$A$34,0)),"")</f>
        <v>Safety Advisor</v>
      </c>
      <c r="E291" s="9">
        <v>46287</v>
      </c>
      <c r="F291" s="10" t="str">
        <f t="shared" si="28"/>
        <v>Tue</v>
      </c>
      <c r="G291" s="7" t="s">
        <v>50</v>
      </c>
      <c r="H291" s="8" t="str">
        <f>IFERROR(INDEX(Lists!$F$5:$F$9,MATCH(G291,Lists!$E$5:$E$9,0)),"")</f>
        <v>Cedar Industrial (fictional)</v>
      </c>
      <c r="I291" s="8" t="str">
        <f>IFERROR(INDEX(Lists!$G$5:$G$9,MATCH(G291,Lists!$E$5:$E$9,0)),"")</f>
        <v>Y</v>
      </c>
      <c r="J291" s="11">
        <v>8</v>
      </c>
      <c r="K291" s="12">
        <v>93</v>
      </c>
      <c r="L291" s="13">
        <f>IF(I291&lt;&gt;"Y","",IFERROR(INDEX(Lists!$L$5:$L$20,MATCH(D291&amp;"|"&amp;G291,Lists!$I$5:$I$20,0)),""))</f>
        <v>93</v>
      </c>
      <c r="M291" s="10" t="str">
        <f t="shared" si="29"/>
        <v>E027|20260922|P103</v>
      </c>
      <c r="N291" s="10" t="str">
        <f>IF(COUNTIFS($M$5:M291,M291)&gt;1,"DUPLICATE","")</f>
        <v/>
      </c>
      <c r="O291" s="10" t="str">
        <f t="shared" si="30"/>
        <v/>
      </c>
      <c r="P291" s="10" t="str">
        <f t="shared" si="31"/>
        <v/>
      </c>
      <c r="Q291" s="10" t="str">
        <f>IF(COUNTIF(Lists!$E$5:$E$9,G291)=0,"PROJECT?","")</f>
        <v/>
      </c>
      <c r="R291" s="10" t="str">
        <f t="shared" si="32"/>
        <v/>
      </c>
      <c r="S291" s="10" t="str">
        <f>IF(AND(I291="Y",N291="",COUNTIF(Billing_Data!$H$5:$H$319,M291)=0),"NOT BILLED","")</f>
        <v/>
      </c>
      <c r="T291" s="14">
        <f t="shared" si="33"/>
        <v>0</v>
      </c>
      <c r="U291" s="15">
        <f t="shared" si="34"/>
        <v>744</v>
      </c>
    </row>
    <row r="292" spans="1:21" x14ac:dyDescent="0.25">
      <c r="A292" s="7" t="s">
        <v>359</v>
      </c>
      <c r="B292" s="7" t="s">
        <v>352</v>
      </c>
      <c r="C292" s="8" t="str">
        <f>IFERROR(INDEX(Lists!$B$5:$B$34,MATCH(B292,Lists!$A$5:$A$34,0)),"")</f>
        <v>Lane Bishop</v>
      </c>
      <c r="D292" s="8" t="str">
        <f>IFERROR(INDEX(Lists!$C$5:$C$34,MATCH(B292,Lists!$A$5:$A$34,0)),"")</f>
        <v>Safety Advisor</v>
      </c>
      <c r="E292" s="9">
        <v>46288</v>
      </c>
      <c r="F292" s="10" t="str">
        <f t="shared" si="28"/>
        <v>Wed</v>
      </c>
      <c r="G292" s="7" t="s">
        <v>50</v>
      </c>
      <c r="H292" s="8" t="str">
        <f>IFERROR(INDEX(Lists!$F$5:$F$9,MATCH(G292,Lists!$E$5:$E$9,0)),"")</f>
        <v>Cedar Industrial (fictional)</v>
      </c>
      <c r="I292" s="8" t="str">
        <f>IFERROR(INDEX(Lists!$G$5:$G$9,MATCH(G292,Lists!$E$5:$E$9,0)),"")</f>
        <v>Y</v>
      </c>
      <c r="J292" s="11">
        <v>8</v>
      </c>
      <c r="K292" s="12">
        <v>93</v>
      </c>
      <c r="L292" s="13">
        <f>IF(I292&lt;&gt;"Y","",IFERROR(INDEX(Lists!$L$5:$L$20,MATCH(D292&amp;"|"&amp;G292,Lists!$I$5:$I$20,0)),""))</f>
        <v>93</v>
      </c>
      <c r="M292" s="10" t="str">
        <f t="shared" si="29"/>
        <v>E027|20260923|P103</v>
      </c>
      <c r="N292" s="10" t="str">
        <f>IF(COUNTIFS($M$5:M292,M292)&gt;1,"DUPLICATE","")</f>
        <v/>
      </c>
      <c r="O292" s="10" t="str">
        <f t="shared" si="30"/>
        <v/>
      </c>
      <c r="P292" s="10" t="str">
        <f t="shared" si="31"/>
        <v/>
      </c>
      <c r="Q292" s="10" t="str">
        <f>IF(COUNTIF(Lists!$E$5:$E$9,G292)=0,"PROJECT?","")</f>
        <v/>
      </c>
      <c r="R292" s="10" t="str">
        <f t="shared" si="32"/>
        <v/>
      </c>
      <c r="S292" s="10" t="str">
        <f>IF(AND(I292="Y",N292="",COUNTIF(Billing_Data!$H$5:$H$319,M292)=0),"NOT BILLED","")</f>
        <v/>
      </c>
      <c r="T292" s="14">
        <f t="shared" si="33"/>
        <v>0</v>
      </c>
      <c r="U292" s="15">
        <f t="shared" si="34"/>
        <v>744</v>
      </c>
    </row>
    <row r="293" spans="1:21" x14ac:dyDescent="0.25">
      <c r="A293" s="7" t="s">
        <v>360</v>
      </c>
      <c r="B293" s="7" t="s">
        <v>352</v>
      </c>
      <c r="C293" s="8" t="str">
        <f>IFERROR(INDEX(Lists!$B$5:$B$34,MATCH(B293,Lists!$A$5:$A$34,0)),"")</f>
        <v>Lane Bishop</v>
      </c>
      <c r="D293" s="8" t="str">
        <f>IFERROR(INDEX(Lists!$C$5:$C$34,MATCH(B293,Lists!$A$5:$A$34,0)),"")</f>
        <v>Safety Advisor</v>
      </c>
      <c r="E293" s="9">
        <v>46289</v>
      </c>
      <c r="F293" s="10" t="str">
        <f t="shared" si="28"/>
        <v>Thu</v>
      </c>
      <c r="G293" s="7" t="s">
        <v>50</v>
      </c>
      <c r="H293" s="8" t="str">
        <f>IFERROR(INDEX(Lists!$F$5:$F$9,MATCH(G293,Lists!$E$5:$E$9,0)),"")</f>
        <v>Cedar Industrial (fictional)</v>
      </c>
      <c r="I293" s="8" t="str">
        <f>IFERROR(INDEX(Lists!$G$5:$G$9,MATCH(G293,Lists!$E$5:$E$9,0)),"")</f>
        <v>Y</v>
      </c>
      <c r="J293" s="11">
        <v>8</v>
      </c>
      <c r="K293" s="12">
        <v>93</v>
      </c>
      <c r="L293" s="13">
        <f>IF(I293&lt;&gt;"Y","",IFERROR(INDEX(Lists!$L$5:$L$20,MATCH(D293&amp;"|"&amp;G293,Lists!$I$5:$I$20,0)),""))</f>
        <v>93</v>
      </c>
      <c r="M293" s="10" t="str">
        <f t="shared" si="29"/>
        <v>E027|20260924|P103</v>
      </c>
      <c r="N293" s="10" t="str">
        <f>IF(COUNTIFS($M$5:M293,M293)&gt;1,"DUPLICATE","")</f>
        <v/>
      </c>
      <c r="O293" s="10" t="str">
        <f t="shared" si="30"/>
        <v/>
      </c>
      <c r="P293" s="10" t="str">
        <f t="shared" si="31"/>
        <v/>
      </c>
      <c r="Q293" s="10" t="str">
        <f>IF(COUNTIF(Lists!$E$5:$E$9,G293)=0,"PROJECT?","")</f>
        <v/>
      </c>
      <c r="R293" s="10" t="str">
        <f t="shared" si="32"/>
        <v/>
      </c>
      <c r="S293" s="10" t="str">
        <f>IF(AND(I293="Y",N293="",COUNTIF(Billing_Data!$H$5:$H$319,M293)=0),"NOT BILLED","")</f>
        <v/>
      </c>
      <c r="T293" s="14">
        <f t="shared" si="33"/>
        <v>0</v>
      </c>
      <c r="U293" s="15">
        <f t="shared" si="34"/>
        <v>744</v>
      </c>
    </row>
    <row r="294" spans="1:21" x14ac:dyDescent="0.25">
      <c r="A294" s="7" t="s">
        <v>361</v>
      </c>
      <c r="B294" s="7" t="s">
        <v>352</v>
      </c>
      <c r="C294" s="8" t="str">
        <f>IFERROR(INDEX(Lists!$B$5:$B$34,MATCH(B294,Lists!$A$5:$A$34,0)),"")</f>
        <v>Lane Bishop</v>
      </c>
      <c r="D294" s="8" t="str">
        <f>IFERROR(INDEX(Lists!$C$5:$C$34,MATCH(B294,Lists!$A$5:$A$34,0)),"")</f>
        <v>Safety Advisor</v>
      </c>
      <c r="E294" s="9">
        <v>46290</v>
      </c>
      <c r="F294" s="10" t="str">
        <f t="shared" si="28"/>
        <v>Fri</v>
      </c>
      <c r="G294" s="7" t="s">
        <v>50</v>
      </c>
      <c r="H294" s="8" t="str">
        <f>IFERROR(INDEX(Lists!$F$5:$F$9,MATCH(G294,Lists!$E$5:$E$9,0)),"")</f>
        <v>Cedar Industrial (fictional)</v>
      </c>
      <c r="I294" s="8" t="str">
        <f>IFERROR(INDEX(Lists!$G$5:$G$9,MATCH(G294,Lists!$E$5:$E$9,0)),"")</f>
        <v>Y</v>
      </c>
      <c r="J294" s="11">
        <v>8</v>
      </c>
      <c r="K294" s="12">
        <v>93</v>
      </c>
      <c r="L294" s="13">
        <f>IF(I294&lt;&gt;"Y","",IFERROR(INDEX(Lists!$L$5:$L$20,MATCH(D294&amp;"|"&amp;G294,Lists!$I$5:$I$20,0)),""))</f>
        <v>93</v>
      </c>
      <c r="M294" s="10" t="str">
        <f t="shared" si="29"/>
        <v>E027|20260925|P103</v>
      </c>
      <c r="N294" s="10" t="str">
        <f>IF(COUNTIFS($M$5:M294,M294)&gt;1,"DUPLICATE","")</f>
        <v/>
      </c>
      <c r="O294" s="10" t="str">
        <f t="shared" si="30"/>
        <v/>
      </c>
      <c r="P294" s="10" t="str">
        <f t="shared" si="31"/>
        <v/>
      </c>
      <c r="Q294" s="10" t="str">
        <f>IF(COUNTIF(Lists!$E$5:$E$9,G294)=0,"PROJECT?","")</f>
        <v/>
      </c>
      <c r="R294" s="10" t="str">
        <f t="shared" si="32"/>
        <v/>
      </c>
      <c r="S294" s="10" t="str">
        <f>IF(AND(I294="Y",N294="",COUNTIF(Billing_Data!$H$5:$H$319,M294)=0),"NOT BILLED","")</f>
        <v/>
      </c>
      <c r="T294" s="14">
        <f t="shared" si="33"/>
        <v>0</v>
      </c>
      <c r="U294" s="15">
        <f t="shared" si="34"/>
        <v>744</v>
      </c>
    </row>
    <row r="295" spans="1:21" x14ac:dyDescent="0.25">
      <c r="A295" s="7" t="s">
        <v>362</v>
      </c>
      <c r="B295" s="7" t="s">
        <v>363</v>
      </c>
      <c r="C295" s="8" t="str">
        <f>IFERROR(INDEX(Lists!$B$5:$B$34,MATCH(B295,Lists!$A$5:$A$34,0)),"")</f>
        <v>Marley Carver</v>
      </c>
      <c r="D295" s="8" t="str">
        <f>IFERROR(INDEX(Lists!$C$5:$C$34,MATCH(B295,Lists!$A$5:$A$34,0)),"")</f>
        <v>Safety Advisor</v>
      </c>
      <c r="E295" s="9">
        <v>46279</v>
      </c>
      <c r="F295" s="10" t="str">
        <f t="shared" si="28"/>
        <v>Mon</v>
      </c>
      <c r="G295" s="7" t="s">
        <v>74</v>
      </c>
      <c r="H295" s="8" t="str">
        <f>IFERROR(INDEX(Lists!$F$5:$F$9,MATCH(G295,Lists!$E$5:$E$9,0)),"")</f>
        <v>Delta Environmental (fictional)</v>
      </c>
      <c r="I295" s="8" t="str">
        <f>IFERROR(INDEX(Lists!$G$5:$G$9,MATCH(G295,Lists!$E$5:$E$9,0)),"")</f>
        <v>Y</v>
      </c>
      <c r="J295" s="11">
        <v>8</v>
      </c>
      <c r="K295" s="12">
        <v>108</v>
      </c>
      <c r="L295" s="13">
        <f>IF(I295&lt;&gt;"Y","",IFERROR(INDEX(Lists!$L$5:$L$20,MATCH(D295&amp;"|"&amp;G295,Lists!$I$5:$I$20,0)),""))</f>
        <v>108</v>
      </c>
      <c r="M295" s="10" t="str">
        <f t="shared" si="29"/>
        <v>E028|20260914|P104</v>
      </c>
      <c r="N295" s="10" t="str">
        <f>IF(COUNTIFS($M$5:M295,M295)&gt;1,"DUPLICATE","")</f>
        <v/>
      </c>
      <c r="O295" s="10" t="str">
        <f t="shared" si="30"/>
        <v/>
      </c>
      <c r="P295" s="10" t="str">
        <f t="shared" si="31"/>
        <v/>
      </c>
      <c r="Q295" s="10" t="str">
        <f>IF(COUNTIF(Lists!$E$5:$E$9,G295)=0,"PROJECT?","")</f>
        <v/>
      </c>
      <c r="R295" s="10" t="str">
        <f t="shared" si="32"/>
        <v/>
      </c>
      <c r="S295" s="10" t="str">
        <f>IF(AND(I295="Y",N295="",COUNTIF(Billing_Data!$H$5:$H$319,M295)=0),"NOT BILLED","")</f>
        <v/>
      </c>
      <c r="T295" s="14">
        <f t="shared" si="33"/>
        <v>0</v>
      </c>
      <c r="U295" s="15">
        <f t="shared" si="34"/>
        <v>864</v>
      </c>
    </row>
    <row r="296" spans="1:21" x14ac:dyDescent="0.25">
      <c r="A296" s="7" t="s">
        <v>364</v>
      </c>
      <c r="B296" s="7" t="s">
        <v>363</v>
      </c>
      <c r="C296" s="8" t="str">
        <f>IFERROR(INDEX(Lists!$B$5:$B$34,MATCH(B296,Lists!$A$5:$A$34,0)),"")</f>
        <v>Marley Carver</v>
      </c>
      <c r="D296" s="8" t="str">
        <f>IFERROR(INDEX(Lists!$C$5:$C$34,MATCH(B296,Lists!$A$5:$A$34,0)),"")</f>
        <v>Safety Advisor</v>
      </c>
      <c r="E296" s="9">
        <v>46280</v>
      </c>
      <c r="F296" s="10" t="str">
        <f t="shared" si="28"/>
        <v>Tue</v>
      </c>
      <c r="G296" s="7" t="s">
        <v>74</v>
      </c>
      <c r="H296" s="8" t="str">
        <f>IFERROR(INDEX(Lists!$F$5:$F$9,MATCH(G296,Lists!$E$5:$E$9,0)),"")</f>
        <v>Delta Environmental (fictional)</v>
      </c>
      <c r="I296" s="8" t="str">
        <f>IFERROR(INDEX(Lists!$G$5:$G$9,MATCH(G296,Lists!$E$5:$E$9,0)),"")</f>
        <v>Y</v>
      </c>
      <c r="J296" s="11">
        <v>8</v>
      </c>
      <c r="K296" s="12">
        <v>108</v>
      </c>
      <c r="L296" s="13">
        <f>IF(I296&lt;&gt;"Y","",IFERROR(INDEX(Lists!$L$5:$L$20,MATCH(D296&amp;"|"&amp;G296,Lists!$I$5:$I$20,0)),""))</f>
        <v>108</v>
      </c>
      <c r="M296" s="10" t="str">
        <f t="shared" si="29"/>
        <v>E028|20260915|P104</v>
      </c>
      <c r="N296" s="10" t="str">
        <f>IF(COUNTIFS($M$5:M296,M296)&gt;1,"DUPLICATE","")</f>
        <v/>
      </c>
      <c r="O296" s="10" t="str">
        <f t="shared" si="30"/>
        <v/>
      </c>
      <c r="P296" s="10" t="str">
        <f t="shared" si="31"/>
        <v/>
      </c>
      <c r="Q296" s="10" t="str">
        <f>IF(COUNTIF(Lists!$E$5:$E$9,G296)=0,"PROJECT?","")</f>
        <v/>
      </c>
      <c r="R296" s="10" t="str">
        <f t="shared" si="32"/>
        <v/>
      </c>
      <c r="S296" s="10" t="str">
        <f>IF(AND(I296="Y",N296="",COUNTIF(Billing_Data!$H$5:$H$319,M296)=0),"NOT BILLED","")</f>
        <v/>
      </c>
      <c r="T296" s="14">
        <f t="shared" si="33"/>
        <v>0</v>
      </c>
      <c r="U296" s="15">
        <f t="shared" si="34"/>
        <v>864</v>
      </c>
    </row>
    <row r="297" spans="1:21" x14ac:dyDescent="0.25">
      <c r="A297" s="7" t="s">
        <v>365</v>
      </c>
      <c r="B297" s="7" t="s">
        <v>363</v>
      </c>
      <c r="C297" s="8" t="str">
        <f>IFERROR(INDEX(Lists!$B$5:$B$34,MATCH(B297,Lists!$A$5:$A$34,0)),"")</f>
        <v>Marley Carver</v>
      </c>
      <c r="D297" s="8" t="str">
        <f>IFERROR(INDEX(Lists!$C$5:$C$34,MATCH(B297,Lists!$A$5:$A$34,0)),"")</f>
        <v>Safety Advisor</v>
      </c>
      <c r="E297" s="9">
        <v>46281</v>
      </c>
      <c r="F297" s="10" t="str">
        <f t="shared" si="28"/>
        <v>Wed</v>
      </c>
      <c r="G297" s="7" t="s">
        <v>74</v>
      </c>
      <c r="H297" s="8" t="str">
        <f>IFERROR(INDEX(Lists!$F$5:$F$9,MATCH(G297,Lists!$E$5:$E$9,0)),"")</f>
        <v>Delta Environmental (fictional)</v>
      </c>
      <c r="I297" s="8" t="str">
        <f>IFERROR(INDEX(Lists!$G$5:$G$9,MATCH(G297,Lists!$E$5:$E$9,0)),"")</f>
        <v>Y</v>
      </c>
      <c r="J297" s="11">
        <v>8</v>
      </c>
      <c r="K297" s="12">
        <v>108</v>
      </c>
      <c r="L297" s="13">
        <f>IF(I297&lt;&gt;"Y","",IFERROR(INDEX(Lists!$L$5:$L$20,MATCH(D297&amp;"|"&amp;G297,Lists!$I$5:$I$20,0)),""))</f>
        <v>108</v>
      </c>
      <c r="M297" s="10" t="str">
        <f t="shared" si="29"/>
        <v>E028|20260916|P104</v>
      </c>
      <c r="N297" s="10" t="str">
        <f>IF(COUNTIFS($M$5:M297,M297)&gt;1,"DUPLICATE","")</f>
        <v/>
      </c>
      <c r="O297" s="10" t="str">
        <f t="shared" si="30"/>
        <v/>
      </c>
      <c r="P297" s="10" t="str">
        <f t="shared" si="31"/>
        <v/>
      </c>
      <c r="Q297" s="10" t="str">
        <f>IF(COUNTIF(Lists!$E$5:$E$9,G297)=0,"PROJECT?","")</f>
        <v/>
      </c>
      <c r="R297" s="10" t="str">
        <f t="shared" si="32"/>
        <v/>
      </c>
      <c r="S297" s="10" t="str">
        <f>IF(AND(I297="Y",N297="",COUNTIF(Billing_Data!$H$5:$H$319,M297)=0),"NOT BILLED","")</f>
        <v/>
      </c>
      <c r="T297" s="14">
        <f t="shared" si="33"/>
        <v>0</v>
      </c>
      <c r="U297" s="15">
        <f t="shared" si="34"/>
        <v>864</v>
      </c>
    </row>
    <row r="298" spans="1:21" x14ac:dyDescent="0.25">
      <c r="A298" s="7" t="s">
        <v>366</v>
      </c>
      <c r="B298" s="7" t="s">
        <v>363</v>
      </c>
      <c r="C298" s="8" t="str">
        <f>IFERROR(INDEX(Lists!$B$5:$B$34,MATCH(B298,Lists!$A$5:$A$34,0)),"")</f>
        <v>Marley Carver</v>
      </c>
      <c r="D298" s="8" t="str">
        <f>IFERROR(INDEX(Lists!$C$5:$C$34,MATCH(B298,Lists!$A$5:$A$34,0)),"")</f>
        <v>Safety Advisor</v>
      </c>
      <c r="E298" s="9">
        <v>46282</v>
      </c>
      <c r="F298" s="10" t="str">
        <f t="shared" si="28"/>
        <v>Thu</v>
      </c>
      <c r="G298" s="7" t="s">
        <v>74</v>
      </c>
      <c r="H298" s="8" t="str">
        <f>IFERROR(INDEX(Lists!$F$5:$F$9,MATCH(G298,Lists!$E$5:$E$9,0)),"")</f>
        <v>Delta Environmental (fictional)</v>
      </c>
      <c r="I298" s="8" t="str">
        <f>IFERROR(INDEX(Lists!$G$5:$G$9,MATCH(G298,Lists!$E$5:$E$9,0)),"")</f>
        <v>Y</v>
      </c>
      <c r="J298" s="11">
        <v>8</v>
      </c>
      <c r="K298" s="12">
        <v>108</v>
      </c>
      <c r="L298" s="13">
        <f>IF(I298&lt;&gt;"Y","",IFERROR(INDEX(Lists!$L$5:$L$20,MATCH(D298&amp;"|"&amp;G298,Lists!$I$5:$I$20,0)),""))</f>
        <v>108</v>
      </c>
      <c r="M298" s="10" t="str">
        <f t="shared" si="29"/>
        <v>E028|20260917|P104</v>
      </c>
      <c r="N298" s="10" t="str">
        <f>IF(COUNTIFS($M$5:M298,M298)&gt;1,"DUPLICATE","")</f>
        <v/>
      </c>
      <c r="O298" s="10" t="str">
        <f t="shared" si="30"/>
        <v/>
      </c>
      <c r="P298" s="10" t="str">
        <f t="shared" si="31"/>
        <v/>
      </c>
      <c r="Q298" s="10" t="str">
        <f>IF(COUNTIF(Lists!$E$5:$E$9,G298)=0,"PROJECT?","")</f>
        <v/>
      </c>
      <c r="R298" s="10" t="str">
        <f t="shared" si="32"/>
        <v/>
      </c>
      <c r="S298" s="10" t="str">
        <f>IF(AND(I298="Y",N298="",COUNTIF(Billing_Data!$H$5:$H$319,M298)=0),"NOT BILLED","")</f>
        <v/>
      </c>
      <c r="T298" s="14">
        <f t="shared" si="33"/>
        <v>0</v>
      </c>
      <c r="U298" s="15">
        <f t="shared" si="34"/>
        <v>864</v>
      </c>
    </row>
    <row r="299" spans="1:21" x14ac:dyDescent="0.25">
      <c r="A299" s="7" t="s">
        <v>367</v>
      </c>
      <c r="B299" s="7" t="s">
        <v>363</v>
      </c>
      <c r="C299" s="8" t="str">
        <f>IFERROR(INDEX(Lists!$B$5:$B$34,MATCH(B299,Lists!$A$5:$A$34,0)),"")</f>
        <v>Marley Carver</v>
      </c>
      <c r="D299" s="8" t="str">
        <f>IFERROR(INDEX(Lists!$C$5:$C$34,MATCH(B299,Lists!$A$5:$A$34,0)),"")</f>
        <v>Safety Advisor</v>
      </c>
      <c r="E299" s="9">
        <v>46283</v>
      </c>
      <c r="F299" s="10" t="str">
        <f t="shared" si="28"/>
        <v>Fri</v>
      </c>
      <c r="G299" s="7" t="s">
        <v>74</v>
      </c>
      <c r="H299" s="8" t="str">
        <f>IFERROR(INDEX(Lists!$F$5:$F$9,MATCH(G299,Lists!$E$5:$E$9,0)),"")</f>
        <v>Delta Environmental (fictional)</v>
      </c>
      <c r="I299" s="8" t="str">
        <f>IFERROR(INDEX(Lists!$G$5:$G$9,MATCH(G299,Lists!$E$5:$E$9,0)),"")</f>
        <v>Y</v>
      </c>
      <c r="J299" s="11">
        <v>8</v>
      </c>
      <c r="K299" s="12">
        <v>108</v>
      </c>
      <c r="L299" s="13">
        <f>IF(I299&lt;&gt;"Y","",IFERROR(INDEX(Lists!$L$5:$L$20,MATCH(D299&amp;"|"&amp;G299,Lists!$I$5:$I$20,0)),""))</f>
        <v>108</v>
      </c>
      <c r="M299" s="10" t="str">
        <f t="shared" si="29"/>
        <v>E028|20260918|P104</v>
      </c>
      <c r="N299" s="10" t="str">
        <f>IF(COUNTIFS($M$5:M299,M299)&gt;1,"DUPLICATE","")</f>
        <v/>
      </c>
      <c r="O299" s="10" t="str">
        <f t="shared" si="30"/>
        <v/>
      </c>
      <c r="P299" s="10" t="str">
        <f t="shared" si="31"/>
        <v/>
      </c>
      <c r="Q299" s="10" t="str">
        <f>IF(COUNTIF(Lists!$E$5:$E$9,G299)=0,"PROJECT?","")</f>
        <v/>
      </c>
      <c r="R299" s="10" t="str">
        <f t="shared" si="32"/>
        <v/>
      </c>
      <c r="S299" s="10" t="str">
        <f>IF(AND(I299="Y",N299="",COUNTIF(Billing_Data!$H$5:$H$319,M299)=0),"NOT BILLED","")</f>
        <v/>
      </c>
      <c r="T299" s="14">
        <f t="shared" si="33"/>
        <v>0</v>
      </c>
      <c r="U299" s="15">
        <f t="shared" si="34"/>
        <v>864</v>
      </c>
    </row>
    <row r="300" spans="1:21" x14ac:dyDescent="0.25">
      <c r="A300" s="7" t="s">
        <v>368</v>
      </c>
      <c r="B300" s="7" t="s">
        <v>363</v>
      </c>
      <c r="C300" s="8" t="str">
        <f>IFERROR(INDEX(Lists!$B$5:$B$34,MATCH(B300,Lists!$A$5:$A$34,0)),"")</f>
        <v>Marley Carver</v>
      </c>
      <c r="D300" s="8" t="str">
        <f>IFERROR(INDEX(Lists!$C$5:$C$34,MATCH(B300,Lists!$A$5:$A$34,0)),"")</f>
        <v>Safety Advisor</v>
      </c>
      <c r="E300" s="9">
        <v>46286</v>
      </c>
      <c r="F300" s="10" t="str">
        <f t="shared" si="28"/>
        <v>Mon</v>
      </c>
      <c r="G300" s="7" t="s">
        <v>74</v>
      </c>
      <c r="H300" s="8" t="str">
        <f>IFERROR(INDEX(Lists!$F$5:$F$9,MATCH(G300,Lists!$E$5:$E$9,0)),"")</f>
        <v>Delta Environmental (fictional)</v>
      </c>
      <c r="I300" s="8" t="str">
        <f>IFERROR(INDEX(Lists!$G$5:$G$9,MATCH(G300,Lists!$E$5:$E$9,0)),"")</f>
        <v>Y</v>
      </c>
      <c r="J300" s="11">
        <v>8</v>
      </c>
      <c r="K300" s="12">
        <v>108</v>
      </c>
      <c r="L300" s="13">
        <f>IF(I300&lt;&gt;"Y","",IFERROR(INDEX(Lists!$L$5:$L$20,MATCH(D300&amp;"|"&amp;G300,Lists!$I$5:$I$20,0)),""))</f>
        <v>108</v>
      </c>
      <c r="M300" s="10" t="str">
        <f t="shared" si="29"/>
        <v>E028|20260921|P104</v>
      </c>
      <c r="N300" s="10" t="str">
        <f>IF(COUNTIFS($M$5:M300,M300)&gt;1,"DUPLICATE","")</f>
        <v/>
      </c>
      <c r="O300" s="10" t="str">
        <f t="shared" si="30"/>
        <v/>
      </c>
      <c r="P300" s="10" t="str">
        <f t="shared" si="31"/>
        <v/>
      </c>
      <c r="Q300" s="10" t="str">
        <f>IF(COUNTIF(Lists!$E$5:$E$9,G300)=0,"PROJECT?","")</f>
        <v/>
      </c>
      <c r="R300" s="10" t="str">
        <f t="shared" si="32"/>
        <v/>
      </c>
      <c r="S300" s="10" t="str">
        <f>IF(AND(I300="Y",N300="",COUNTIF(Billing_Data!$H$5:$H$319,M300)=0),"NOT BILLED","")</f>
        <v/>
      </c>
      <c r="T300" s="14">
        <f t="shared" si="33"/>
        <v>0</v>
      </c>
      <c r="U300" s="15">
        <f t="shared" si="34"/>
        <v>864</v>
      </c>
    </row>
    <row r="301" spans="1:21" x14ac:dyDescent="0.25">
      <c r="A301" s="7" t="s">
        <v>369</v>
      </c>
      <c r="B301" s="7" t="s">
        <v>363</v>
      </c>
      <c r="C301" s="8" t="str">
        <f>IFERROR(INDEX(Lists!$B$5:$B$34,MATCH(B301,Lists!$A$5:$A$34,0)),"")</f>
        <v>Marley Carver</v>
      </c>
      <c r="D301" s="8" t="str">
        <f>IFERROR(INDEX(Lists!$C$5:$C$34,MATCH(B301,Lists!$A$5:$A$34,0)),"")</f>
        <v>Safety Advisor</v>
      </c>
      <c r="E301" s="9">
        <v>46287</v>
      </c>
      <c r="F301" s="10" t="str">
        <f t="shared" si="28"/>
        <v>Tue</v>
      </c>
      <c r="G301" s="7" t="s">
        <v>74</v>
      </c>
      <c r="H301" s="8" t="str">
        <f>IFERROR(INDEX(Lists!$F$5:$F$9,MATCH(G301,Lists!$E$5:$E$9,0)),"")</f>
        <v>Delta Environmental (fictional)</v>
      </c>
      <c r="I301" s="8" t="str">
        <f>IFERROR(INDEX(Lists!$G$5:$G$9,MATCH(G301,Lists!$E$5:$E$9,0)),"")</f>
        <v>Y</v>
      </c>
      <c r="J301" s="11">
        <v>4</v>
      </c>
      <c r="K301" s="12">
        <v>108</v>
      </c>
      <c r="L301" s="13">
        <f>IF(I301&lt;&gt;"Y","",IFERROR(INDEX(Lists!$L$5:$L$20,MATCH(D301&amp;"|"&amp;G301,Lists!$I$5:$I$20,0)),""))</f>
        <v>108</v>
      </c>
      <c r="M301" s="10" t="str">
        <f t="shared" si="29"/>
        <v>E028|20260922|P104</v>
      </c>
      <c r="N301" s="10" t="str">
        <f>IF(COUNTIFS($M$5:M301,M301)&gt;1,"DUPLICATE","")</f>
        <v/>
      </c>
      <c r="O301" s="10" t="str">
        <f t="shared" si="30"/>
        <v/>
      </c>
      <c r="P301" s="10" t="str">
        <f t="shared" si="31"/>
        <v/>
      </c>
      <c r="Q301" s="10" t="str">
        <f>IF(COUNTIF(Lists!$E$5:$E$9,G301)=0,"PROJECT?","")</f>
        <v/>
      </c>
      <c r="R301" s="10" t="str">
        <f t="shared" si="32"/>
        <v/>
      </c>
      <c r="S301" s="10" t="str">
        <f>IF(AND(I301="Y",N301="",COUNTIF(Billing_Data!$H$5:$H$319,M301)=0),"NOT BILLED","")</f>
        <v/>
      </c>
      <c r="T301" s="14">
        <f t="shared" si="33"/>
        <v>0</v>
      </c>
      <c r="U301" s="15">
        <f t="shared" si="34"/>
        <v>432</v>
      </c>
    </row>
    <row r="302" spans="1:21" x14ac:dyDescent="0.25">
      <c r="A302" s="7" t="s">
        <v>370</v>
      </c>
      <c r="B302" s="7" t="s">
        <v>363</v>
      </c>
      <c r="C302" s="8" t="str">
        <f>IFERROR(INDEX(Lists!$B$5:$B$34,MATCH(B302,Lists!$A$5:$A$34,0)),"")</f>
        <v>Marley Carver</v>
      </c>
      <c r="D302" s="8" t="str">
        <f>IFERROR(INDEX(Lists!$C$5:$C$34,MATCH(B302,Lists!$A$5:$A$34,0)),"")</f>
        <v>Safety Advisor</v>
      </c>
      <c r="E302" s="9">
        <v>46287</v>
      </c>
      <c r="F302" s="10" t="str">
        <f t="shared" si="28"/>
        <v>Tue</v>
      </c>
      <c r="G302" s="7" t="s">
        <v>46</v>
      </c>
      <c r="H302" s="8" t="str">
        <f>IFERROR(INDEX(Lists!$F$5:$F$9,MATCH(G302,Lists!$E$5:$E$9,0)),"")</f>
        <v>Birchwood Midstream (fictional)</v>
      </c>
      <c r="I302" s="8" t="str">
        <f>IFERROR(INDEX(Lists!$G$5:$G$9,MATCH(G302,Lists!$E$5:$E$9,0)),"")</f>
        <v>Y</v>
      </c>
      <c r="J302" s="11">
        <v>4</v>
      </c>
      <c r="K302" s="12">
        <v>103</v>
      </c>
      <c r="L302" s="13">
        <f>IF(I302&lt;&gt;"Y","",IFERROR(INDEX(Lists!$L$5:$L$20,MATCH(D302&amp;"|"&amp;G302,Lists!$I$5:$I$20,0)),""))</f>
        <v>103</v>
      </c>
      <c r="M302" s="10" t="str">
        <f t="shared" si="29"/>
        <v>E028|20260922|P102</v>
      </c>
      <c r="N302" s="10" t="str">
        <f>IF(COUNTIFS($M$5:M302,M302)&gt;1,"DUPLICATE","")</f>
        <v/>
      </c>
      <c r="O302" s="10" t="str">
        <f t="shared" si="30"/>
        <v/>
      </c>
      <c r="P302" s="10" t="str">
        <f t="shared" si="31"/>
        <v/>
      </c>
      <c r="Q302" s="10" t="str">
        <f>IF(COUNTIF(Lists!$E$5:$E$9,G302)=0,"PROJECT?","")</f>
        <v/>
      </c>
      <c r="R302" s="10" t="str">
        <f t="shared" si="32"/>
        <v/>
      </c>
      <c r="S302" s="10" t="str">
        <f>IF(AND(I302="Y",N302="",COUNTIF(Billing_Data!$H$5:$H$319,M302)=0),"NOT BILLED","")</f>
        <v/>
      </c>
      <c r="T302" s="14">
        <f t="shared" si="33"/>
        <v>0</v>
      </c>
      <c r="U302" s="15">
        <f t="shared" si="34"/>
        <v>412</v>
      </c>
    </row>
    <row r="303" spans="1:21" x14ac:dyDescent="0.25">
      <c r="A303" s="7" t="s">
        <v>371</v>
      </c>
      <c r="B303" s="7" t="s">
        <v>363</v>
      </c>
      <c r="C303" s="8" t="str">
        <f>IFERROR(INDEX(Lists!$B$5:$B$34,MATCH(B303,Lists!$A$5:$A$34,0)),"")</f>
        <v>Marley Carver</v>
      </c>
      <c r="D303" s="8" t="str">
        <f>IFERROR(INDEX(Lists!$C$5:$C$34,MATCH(B303,Lists!$A$5:$A$34,0)),"")</f>
        <v>Safety Advisor</v>
      </c>
      <c r="E303" s="9">
        <v>46288</v>
      </c>
      <c r="F303" s="10" t="str">
        <f t="shared" si="28"/>
        <v>Wed</v>
      </c>
      <c r="G303" s="7" t="s">
        <v>74</v>
      </c>
      <c r="H303" s="8" t="str">
        <f>IFERROR(INDEX(Lists!$F$5:$F$9,MATCH(G303,Lists!$E$5:$E$9,0)),"")</f>
        <v>Delta Environmental (fictional)</v>
      </c>
      <c r="I303" s="8" t="str">
        <f>IFERROR(INDEX(Lists!$G$5:$G$9,MATCH(G303,Lists!$E$5:$E$9,0)),"")</f>
        <v>Y</v>
      </c>
      <c r="J303" s="11">
        <v>8</v>
      </c>
      <c r="K303" s="12">
        <v>108</v>
      </c>
      <c r="L303" s="13">
        <f>IF(I303&lt;&gt;"Y","",IFERROR(INDEX(Lists!$L$5:$L$20,MATCH(D303&amp;"|"&amp;G303,Lists!$I$5:$I$20,0)),""))</f>
        <v>108</v>
      </c>
      <c r="M303" s="10" t="str">
        <f t="shared" si="29"/>
        <v>E028|20260923|P104</v>
      </c>
      <c r="N303" s="10" t="str">
        <f>IF(COUNTIFS($M$5:M303,M303)&gt;1,"DUPLICATE","")</f>
        <v/>
      </c>
      <c r="O303" s="10" t="str">
        <f t="shared" si="30"/>
        <v/>
      </c>
      <c r="P303" s="10" t="str">
        <f t="shared" si="31"/>
        <v/>
      </c>
      <c r="Q303" s="10" t="str">
        <f>IF(COUNTIF(Lists!$E$5:$E$9,G303)=0,"PROJECT?","")</f>
        <v/>
      </c>
      <c r="R303" s="10" t="str">
        <f t="shared" si="32"/>
        <v/>
      </c>
      <c r="S303" s="10" t="str">
        <f>IF(AND(I303="Y",N303="",COUNTIF(Billing_Data!$H$5:$H$319,M303)=0),"NOT BILLED","")</f>
        <v/>
      </c>
      <c r="T303" s="14">
        <f t="shared" si="33"/>
        <v>0</v>
      </c>
      <c r="U303" s="15">
        <f t="shared" si="34"/>
        <v>864</v>
      </c>
    </row>
    <row r="304" spans="1:21" x14ac:dyDescent="0.25">
      <c r="A304" s="7" t="s">
        <v>372</v>
      </c>
      <c r="B304" s="7" t="s">
        <v>363</v>
      </c>
      <c r="C304" s="8" t="str">
        <f>IFERROR(INDEX(Lists!$B$5:$B$34,MATCH(B304,Lists!$A$5:$A$34,0)),"")</f>
        <v>Marley Carver</v>
      </c>
      <c r="D304" s="8" t="str">
        <f>IFERROR(INDEX(Lists!$C$5:$C$34,MATCH(B304,Lists!$A$5:$A$34,0)),"")</f>
        <v>Safety Advisor</v>
      </c>
      <c r="E304" s="9">
        <v>46289</v>
      </c>
      <c r="F304" s="10" t="str">
        <f t="shared" si="28"/>
        <v>Thu</v>
      </c>
      <c r="G304" s="7" t="s">
        <v>74</v>
      </c>
      <c r="H304" s="8" t="str">
        <f>IFERROR(INDEX(Lists!$F$5:$F$9,MATCH(G304,Lists!$E$5:$E$9,0)),"")</f>
        <v>Delta Environmental (fictional)</v>
      </c>
      <c r="I304" s="8" t="str">
        <f>IFERROR(INDEX(Lists!$G$5:$G$9,MATCH(G304,Lists!$E$5:$E$9,0)),"")</f>
        <v>Y</v>
      </c>
      <c r="J304" s="11">
        <v>8</v>
      </c>
      <c r="K304" s="12">
        <v>108</v>
      </c>
      <c r="L304" s="13">
        <f>IF(I304&lt;&gt;"Y","",IFERROR(INDEX(Lists!$L$5:$L$20,MATCH(D304&amp;"|"&amp;G304,Lists!$I$5:$I$20,0)),""))</f>
        <v>108</v>
      </c>
      <c r="M304" s="10" t="str">
        <f t="shared" si="29"/>
        <v>E028|20260924|P104</v>
      </c>
      <c r="N304" s="10" t="str">
        <f>IF(COUNTIFS($M$5:M304,M304)&gt;1,"DUPLICATE","")</f>
        <v/>
      </c>
      <c r="O304" s="10" t="str">
        <f t="shared" si="30"/>
        <v/>
      </c>
      <c r="P304" s="10" t="str">
        <f t="shared" si="31"/>
        <v/>
      </c>
      <c r="Q304" s="10" t="str">
        <f>IF(COUNTIF(Lists!$E$5:$E$9,G304)=0,"PROJECT?","")</f>
        <v/>
      </c>
      <c r="R304" s="10" t="str">
        <f t="shared" si="32"/>
        <v/>
      </c>
      <c r="S304" s="10" t="str">
        <f>IF(AND(I304="Y",N304="",COUNTIF(Billing_Data!$H$5:$H$319,M304)=0),"NOT BILLED","")</f>
        <v/>
      </c>
      <c r="T304" s="14">
        <f t="shared" si="33"/>
        <v>0</v>
      </c>
      <c r="U304" s="15">
        <f t="shared" si="34"/>
        <v>864</v>
      </c>
    </row>
    <row r="305" spans="1:21" x14ac:dyDescent="0.25">
      <c r="A305" s="7" t="s">
        <v>373</v>
      </c>
      <c r="B305" s="7" t="s">
        <v>363</v>
      </c>
      <c r="C305" s="8" t="str">
        <f>IFERROR(INDEX(Lists!$B$5:$B$34,MATCH(B305,Lists!$A$5:$A$34,0)),"")</f>
        <v>Marley Carver</v>
      </c>
      <c r="D305" s="8" t="str">
        <f>IFERROR(INDEX(Lists!$C$5:$C$34,MATCH(B305,Lists!$A$5:$A$34,0)),"")</f>
        <v>Safety Advisor</v>
      </c>
      <c r="E305" s="9">
        <v>46290</v>
      </c>
      <c r="F305" s="10" t="str">
        <f t="shared" si="28"/>
        <v>Fri</v>
      </c>
      <c r="G305" s="7" t="s">
        <v>74</v>
      </c>
      <c r="H305" s="8" t="str">
        <f>IFERROR(INDEX(Lists!$F$5:$F$9,MATCH(G305,Lists!$E$5:$E$9,0)),"")</f>
        <v>Delta Environmental (fictional)</v>
      </c>
      <c r="I305" s="8" t="str">
        <f>IFERROR(INDEX(Lists!$G$5:$G$9,MATCH(G305,Lists!$E$5:$E$9,0)),"")</f>
        <v>Y</v>
      </c>
      <c r="J305" s="11">
        <v>8</v>
      </c>
      <c r="K305" s="12">
        <v>108</v>
      </c>
      <c r="L305" s="13">
        <f>IF(I305&lt;&gt;"Y","",IFERROR(INDEX(Lists!$L$5:$L$20,MATCH(D305&amp;"|"&amp;G305,Lists!$I$5:$I$20,0)),""))</f>
        <v>108</v>
      </c>
      <c r="M305" s="10" t="str">
        <f t="shared" si="29"/>
        <v>E028|20260925|P104</v>
      </c>
      <c r="N305" s="10" t="str">
        <f>IF(COUNTIFS($M$5:M305,M305)&gt;1,"DUPLICATE","")</f>
        <v/>
      </c>
      <c r="O305" s="10" t="str">
        <f t="shared" si="30"/>
        <v/>
      </c>
      <c r="P305" s="10" t="str">
        <f t="shared" si="31"/>
        <v/>
      </c>
      <c r="Q305" s="10" t="str">
        <f>IF(COUNTIF(Lists!$E$5:$E$9,G305)=0,"PROJECT?","")</f>
        <v/>
      </c>
      <c r="R305" s="10" t="str">
        <f t="shared" si="32"/>
        <v/>
      </c>
      <c r="S305" s="10" t="str">
        <f>IF(AND(I305="Y",N305="",COUNTIF(Billing_Data!$H$5:$H$319,M305)=0),"NOT BILLED","")</f>
        <v/>
      </c>
      <c r="T305" s="14">
        <f t="shared" si="33"/>
        <v>0</v>
      </c>
      <c r="U305" s="15">
        <f t="shared" si="34"/>
        <v>864</v>
      </c>
    </row>
    <row r="306" spans="1:21" x14ac:dyDescent="0.25">
      <c r="A306" s="7" t="s">
        <v>374</v>
      </c>
      <c r="B306" s="7" t="s">
        <v>375</v>
      </c>
      <c r="C306" s="8" t="str">
        <f>IFERROR(INDEX(Lists!$B$5:$B$34,MATCH(B306,Lists!$A$5:$A$34,0)),"")</f>
        <v>Noel Doyle</v>
      </c>
      <c r="D306" s="8" t="str">
        <f>IFERROR(INDEX(Lists!$C$5:$C$34,MATCH(B306,Lists!$A$5:$A$34,0)),"")</f>
        <v>Safety Advisor</v>
      </c>
      <c r="E306" s="9">
        <v>46279</v>
      </c>
      <c r="F306" s="10" t="str">
        <f t="shared" si="28"/>
        <v>Mon</v>
      </c>
      <c r="G306" s="7" t="s">
        <v>41</v>
      </c>
      <c r="H306" s="8" t="str">
        <f>IFERROR(INDEX(Lists!$F$5:$F$9,MATCH(G306,Lists!$E$5:$E$9,0)),"")</f>
        <v>Alder Energy (fictional)</v>
      </c>
      <c r="I306" s="8" t="str">
        <f>IFERROR(INDEX(Lists!$G$5:$G$9,MATCH(G306,Lists!$E$5:$E$9,0)),"")</f>
        <v>Y</v>
      </c>
      <c r="J306" s="11">
        <v>8</v>
      </c>
      <c r="K306" s="12">
        <v>98</v>
      </c>
      <c r="L306" s="13">
        <f>IF(I306&lt;&gt;"Y","",IFERROR(INDEX(Lists!$L$5:$L$20,MATCH(D306&amp;"|"&amp;G306,Lists!$I$5:$I$20,0)),""))</f>
        <v>98</v>
      </c>
      <c r="M306" s="10" t="str">
        <f t="shared" si="29"/>
        <v>E029|20260914|P101</v>
      </c>
      <c r="N306" s="10" t="str">
        <f>IF(COUNTIFS($M$5:M306,M306)&gt;1,"DUPLICATE","")</f>
        <v/>
      </c>
      <c r="O306" s="10" t="str">
        <f t="shared" si="30"/>
        <v/>
      </c>
      <c r="P306" s="10" t="str">
        <f t="shared" si="31"/>
        <v/>
      </c>
      <c r="Q306" s="10" t="str">
        <f>IF(COUNTIF(Lists!$E$5:$E$9,G306)=0,"PROJECT?","")</f>
        <v/>
      </c>
      <c r="R306" s="10" t="str">
        <f t="shared" si="32"/>
        <v/>
      </c>
      <c r="S306" s="10" t="str">
        <f>IF(AND(I306="Y",N306="",COUNTIF(Billing_Data!$H$5:$H$319,M306)=0),"NOT BILLED","")</f>
        <v/>
      </c>
      <c r="T306" s="14">
        <f t="shared" si="33"/>
        <v>0</v>
      </c>
      <c r="U306" s="15">
        <f t="shared" si="34"/>
        <v>784</v>
      </c>
    </row>
    <row r="307" spans="1:21" x14ac:dyDescent="0.25">
      <c r="A307" s="7" t="s">
        <v>376</v>
      </c>
      <c r="B307" s="7" t="s">
        <v>375</v>
      </c>
      <c r="C307" s="8" t="str">
        <f>IFERROR(INDEX(Lists!$B$5:$B$34,MATCH(B307,Lists!$A$5:$A$34,0)),"")</f>
        <v>Noel Doyle</v>
      </c>
      <c r="D307" s="8" t="str">
        <f>IFERROR(INDEX(Lists!$C$5:$C$34,MATCH(B307,Lists!$A$5:$A$34,0)),"")</f>
        <v>Safety Advisor</v>
      </c>
      <c r="E307" s="9">
        <v>46280</v>
      </c>
      <c r="F307" s="10" t="str">
        <f t="shared" si="28"/>
        <v>Tue</v>
      </c>
      <c r="G307" s="7" t="s">
        <v>41</v>
      </c>
      <c r="H307" s="8" t="str">
        <f>IFERROR(INDEX(Lists!$F$5:$F$9,MATCH(G307,Lists!$E$5:$E$9,0)),"")</f>
        <v>Alder Energy (fictional)</v>
      </c>
      <c r="I307" s="8" t="str">
        <f>IFERROR(INDEX(Lists!$G$5:$G$9,MATCH(G307,Lists!$E$5:$E$9,0)),"")</f>
        <v>Y</v>
      </c>
      <c r="J307" s="11">
        <v>8</v>
      </c>
      <c r="K307" s="12">
        <v>98</v>
      </c>
      <c r="L307" s="13">
        <f>IF(I307&lt;&gt;"Y","",IFERROR(INDEX(Lists!$L$5:$L$20,MATCH(D307&amp;"|"&amp;G307,Lists!$I$5:$I$20,0)),""))</f>
        <v>98</v>
      </c>
      <c r="M307" s="10" t="str">
        <f t="shared" si="29"/>
        <v>E029|20260915|P101</v>
      </c>
      <c r="N307" s="10" t="str">
        <f>IF(COUNTIFS($M$5:M307,M307)&gt;1,"DUPLICATE","")</f>
        <v/>
      </c>
      <c r="O307" s="10" t="str">
        <f t="shared" si="30"/>
        <v/>
      </c>
      <c r="P307" s="10" t="str">
        <f t="shared" si="31"/>
        <v/>
      </c>
      <c r="Q307" s="10" t="str">
        <f>IF(COUNTIF(Lists!$E$5:$E$9,G307)=0,"PROJECT?","")</f>
        <v/>
      </c>
      <c r="R307" s="10" t="str">
        <f t="shared" si="32"/>
        <v/>
      </c>
      <c r="S307" s="10" t="str">
        <f>IF(AND(I307="Y",N307="",COUNTIF(Billing_Data!$H$5:$H$319,M307)=0),"NOT BILLED","")</f>
        <v/>
      </c>
      <c r="T307" s="14">
        <f t="shared" si="33"/>
        <v>0</v>
      </c>
      <c r="U307" s="15">
        <f t="shared" si="34"/>
        <v>784</v>
      </c>
    </row>
    <row r="308" spans="1:21" x14ac:dyDescent="0.25">
      <c r="A308" s="7" t="s">
        <v>377</v>
      </c>
      <c r="B308" s="7" t="s">
        <v>375</v>
      </c>
      <c r="C308" s="8" t="str">
        <f>IFERROR(INDEX(Lists!$B$5:$B$34,MATCH(B308,Lists!$A$5:$A$34,0)),"")</f>
        <v>Noel Doyle</v>
      </c>
      <c r="D308" s="8" t="str">
        <f>IFERROR(INDEX(Lists!$C$5:$C$34,MATCH(B308,Lists!$A$5:$A$34,0)),"")</f>
        <v>Safety Advisor</v>
      </c>
      <c r="E308" s="9">
        <v>46281</v>
      </c>
      <c r="F308" s="10" t="str">
        <f t="shared" si="28"/>
        <v>Wed</v>
      </c>
      <c r="G308" s="7" t="s">
        <v>41</v>
      </c>
      <c r="H308" s="8" t="str">
        <f>IFERROR(INDEX(Lists!$F$5:$F$9,MATCH(G308,Lists!$E$5:$E$9,0)),"")</f>
        <v>Alder Energy (fictional)</v>
      </c>
      <c r="I308" s="8" t="str">
        <f>IFERROR(INDEX(Lists!$G$5:$G$9,MATCH(G308,Lists!$E$5:$E$9,0)),"")</f>
        <v>Y</v>
      </c>
      <c r="J308" s="11">
        <v>8</v>
      </c>
      <c r="K308" s="12">
        <v>98</v>
      </c>
      <c r="L308" s="13">
        <f>IF(I308&lt;&gt;"Y","",IFERROR(INDEX(Lists!$L$5:$L$20,MATCH(D308&amp;"|"&amp;G308,Lists!$I$5:$I$20,0)),""))</f>
        <v>98</v>
      </c>
      <c r="M308" s="10" t="str">
        <f t="shared" si="29"/>
        <v>E029|20260916|P101</v>
      </c>
      <c r="N308" s="10" t="str">
        <f>IF(COUNTIFS($M$5:M308,M308)&gt;1,"DUPLICATE","")</f>
        <v/>
      </c>
      <c r="O308" s="10" t="str">
        <f t="shared" si="30"/>
        <v/>
      </c>
      <c r="P308" s="10" t="str">
        <f t="shared" si="31"/>
        <v/>
      </c>
      <c r="Q308" s="10" t="str">
        <f>IF(COUNTIF(Lists!$E$5:$E$9,G308)=0,"PROJECT?","")</f>
        <v/>
      </c>
      <c r="R308" s="10" t="str">
        <f t="shared" si="32"/>
        <v/>
      </c>
      <c r="S308" s="10" t="str">
        <f>IF(AND(I308="Y",N308="",COUNTIF(Billing_Data!$H$5:$H$319,M308)=0),"NOT BILLED","")</f>
        <v/>
      </c>
      <c r="T308" s="14">
        <f t="shared" si="33"/>
        <v>0</v>
      </c>
      <c r="U308" s="15">
        <f t="shared" si="34"/>
        <v>784</v>
      </c>
    </row>
    <row r="309" spans="1:21" x14ac:dyDescent="0.25">
      <c r="A309" s="7" t="s">
        <v>378</v>
      </c>
      <c r="B309" s="7" t="s">
        <v>375</v>
      </c>
      <c r="C309" s="8" t="str">
        <f>IFERROR(INDEX(Lists!$B$5:$B$34,MATCH(B309,Lists!$A$5:$A$34,0)),"")</f>
        <v>Noel Doyle</v>
      </c>
      <c r="D309" s="8" t="str">
        <f>IFERROR(INDEX(Lists!$C$5:$C$34,MATCH(B309,Lists!$A$5:$A$34,0)),"")</f>
        <v>Safety Advisor</v>
      </c>
      <c r="E309" s="9">
        <v>46283</v>
      </c>
      <c r="F309" s="10" t="str">
        <f t="shared" si="28"/>
        <v>Fri</v>
      </c>
      <c r="G309" s="7" t="s">
        <v>41</v>
      </c>
      <c r="H309" s="8" t="str">
        <f>IFERROR(INDEX(Lists!$F$5:$F$9,MATCH(G309,Lists!$E$5:$E$9,0)),"")</f>
        <v>Alder Energy (fictional)</v>
      </c>
      <c r="I309" s="8" t="str">
        <f>IFERROR(INDEX(Lists!$G$5:$G$9,MATCH(G309,Lists!$E$5:$E$9,0)),"")</f>
        <v>Y</v>
      </c>
      <c r="J309" s="11">
        <v>8</v>
      </c>
      <c r="K309" s="12">
        <v>98</v>
      </c>
      <c r="L309" s="13">
        <f>IF(I309&lt;&gt;"Y","",IFERROR(INDEX(Lists!$L$5:$L$20,MATCH(D309&amp;"|"&amp;G309,Lists!$I$5:$I$20,0)),""))</f>
        <v>98</v>
      </c>
      <c r="M309" s="10" t="str">
        <f t="shared" si="29"/>
        <v>E029|20260918|P101</v>
      </c>
      <c r="N309" s="10" t="str">
        <f>IF(COUNTIFS($M$5:M309,M309)&gt;1,"DUPLICATE","")</f>
        <v/>
      </c>
      <c r="O309" s="10" t="str">
        <f t="shared" si="30"/>
        <v/>
      </c>
      <c r="P309" s="10" t="str">
        <f t="shared" si="31"/>
        <v/>
      </c>
      <c r="Q309" s="10" t="str">
        <f>IF(COUNTIF(Lists!$E$5:$E$9,G309)=0,"PROJECT?","")</f>
        <v/>
      </c>
      <c r="R309" s="10" t="str">
        <f t="shared" si="32"/>
        <v/>
      </c>
      <c r="S309" s="10" t="str">
        <f>IF(AND(I309="Y",N309="",COUNTIF(Billing_Data!$H$5:$H$319,M309)=0),"NOT BILLED","")</f>
        <v/>
      </c>
      <c r="T309" s="14">
        <f t="shared" si="33"/>
        <v>0</v>
      </c>
      <c r="U309" s="15">
        <f t="shared" si="34"/>
        <v>784</v>
      </c>
    </row>
    <row r="310" spans="1:21" x14ac:dyDescent="0.25">
      <c r="A310" s="7" t="s">
        <v>379</v>
      </c>
      <c r="B310" s="7" t="s">
        <v>375</v>
      </c>
      <c r="C310" s="8" t="str">
        <f>IFERROR(INDEX(Lists!$B$5:$B$34,MATCH(B310,Lists!$A$5:$A$34,0)),"")</f>
        <v>Noel Doyle</v>
      </c>
      <c r="D310" s="8" t="str">
        <f>IFERROR(INDEX(Lists!$C$5:$C$34,MATCH(B310,Lists!$A$5:$A$34,0)),"")</f>
        <v>Safety Advisor</v>
      </c>
      <c r="E310" s="9">
        <v>46286</v>
      </c>
      <c r="F310" s="10" t="str">
        <f t="shared" si="28"/>
        <v>Mon</v>
      </c>
      <c r="G310" s="7" t="s">
        <v>41</v>
      </c>
      <c r="H310" s="8" t="str">
        <f>IFERROR(INDEX(Lists!$F$5:$F$9,MATCH(G310,Lists!$E$5:$E$9,0)),"")</f>
        <v>Alder Energy (fictional)</v>
      </c>
      <c r="I310" s="8" t="str">
        <f>IFERROR(INDEX(Lists!$G$5:$G$9,MATCH(G310,Lists!$E$5:$E$9,0)),"")</f>
        <v>Y</v>
      </c>
      <c r="J310" s="11">
        <v>8</v>
      </c>
      <c r="K310" s="12">
        <v>98</v>
      </c>
      <c r="L310" s="13">
        <f>IF(I310&lt;&gt;"Y","",IFERROR(INDEX(Lists!$L$5:$L$20,MATCH(D310&amp;"|"&amp;G310,Lists!$I$5:$I$20,0)),""))</f>
        <v>98</v>
      </c>
      <c r="M310" s="10" t="str">
        <f t="shared" si="29"/>
        <v>E029|20260921|P101</v>
      </c>
      <c r="N310" s="10" t="str">
        <f>IF(COUNTIFS($M$5:M310,M310)&gt;1,"DUPLICATE","")</f>
        <v/>
      </c>
      <c r="O310" s="10" t="str">
        <f t="shared" si="30"/>
        <v/>
      </c>
      <c r="P310" s="10" t="str">
        <f t="shared" si="31"/>
        <v/>
      </c>
      <c r="Q310" s="10" t="str">
        <f>IF(COUNTIF(Lists!$E$5:$E$9,G310)=0,"PROJECT?","")</f>
        <v/>
      </c>
      <c r="R310" s="10" t="str">
        <f t="shared" si="32"/>
        <v/>
      </c>
      <c r="S310" s="10" t="str">
        <f>IF(AND(I310="Y",N310="",COUNTIF(Billing_Data!$H$5:$H$319,M310)=0),"NOT BILLED","")</f>
        <v/>
      </c>
      <c r="T310" s="14">
        <f t="shared" si="33"/>
        <v>0</v>
      </c>
      <c r="U310" s="15">
        <f t="shared" si="34"/>
        <v>784</v>
      </c>
    </row>
    <row r="311" spans="1:21" x14ac:dyDescent="0.25">
      <c r="A311" s="7" t="s">
        <v>380</v>
      </c>
      <c r="B311" s="7" t="s">
        <v>375</v>
      </c>
      <c r="C311" s="8" t="str">
        <f>IFERROR(INDEX(Lists!$B$5:$B$34,MATCH(B311,Lists!$A$5:$A$34,0)),"")</f>
        <v>Noel Doyle</v>
      </c>
      <c r="D311" s="8" t="str">
        <f>IFERROR(INDEX(Lists!$C$5:$C$34,MATCH(B311,Lists!$A$5:$A$34,0)),"")</f>
        <v>Safety Advisor</v>
      </c>
      <c r="E311" s="9">
        <v>46287</v>
      </c>
      <c r="F311" s="10" t="str">
        <f t="shared" si="28"/>
        <v>Tue</v>
      </c>
      <c r="G311" s="7" t="s">
        <v>41</v>
      </c>
      <c r="H311" s="8" t="str">
        <f>IFERROR(INDEX(Lists!$F$5:$F$9,MATCH(G311,Lists!$E$5:$E$9,0)),"")</f>
        <v>Alder Energy (fictional)</v>
      </c>
      <c r="I311" s="8" t="str">
        <f>IFERROR(INDEX(Lists!$G$5:$G$9,MATCH(G311,Lists!$E$5:$E$9,0)),"")</f>
        <v>Y</v>
      </c>
      <c r="J311" s="11">
        <v>8</v>
      </c>
      <c r="K311" s="12">
        <v>98</v>
      </c>
      <c r="L311" s="13">
        <f>IF(I311&lt;&gt;"Y","",IFERROR(INDEX(Lists!$L$5:$L$20,MATCH(D311&amp;"|"&amp;G311,Lists!$I$5:$I$20,0)),""))</f>
        <v>98</v>
      </c>
      <c r="M311" s="10" t="str">
        <f t="shared" si="29"/>
        <v>E029|20260922|P101</v>
      </c>
      <c r="N311" s="10" t="str">
        <f>IF(COUNTIFS($M$5:M311,M311)&gt;1,"DUPLICATE","")</f>
        <v/>
      </c>
      <c r="O311" s="10" t="str">
        <f t="shared" si="30"/>
        <v/>
      </c>
      <c r="P311" s="10" t="str">
        <f t="shared" si="31"/>
        <v/>
      </c>
      <c r="Q311" s="10" t="str">
        <f>IF(COUNTIF(Lists!$E$5:$E$9,G311)=0,"PROJECT?","")</f>
        <v/>
      </c>
      <c r="R311" s="10" t="str">
        <f t="shared" si="32"/>
        <v/>
      </c>
      <c r="S311" s="10" t="str">
        <f>IF(AND(I311="Y",N311="",COUNTIF(Billing_Data!$H$5:$H$319,M311)=0),"NOT BILLED","")</f>
        <v/>
      </c>
      <c r="T311" s="14">
        <f t="shared" si="33"/>
        <v>0</v>
      </c>
      <c r="U311" s="15">
        <f t="shared" si="34"/>
        <v>784</v>
      </c>
    </row>
    <row r="312" spans="1:21" x14ac:dyDescent="0.25">
      <c r="A312" s="7" t="s">
        <v>381</v>
      </c>
      <c r="B312" s="7" t="s">
        <v>375</v>
      </c>
      <c r="C312" s="8" t="str">
        <f>IFERROR(INDEX(Lists!$B$5:$B$34,MATCH(B312,Lists!$A$5:$A$34,0)),"")</f>
        <v>Noel Doyle</v>
      </c>
      <c r="D312" s="8" t="str">
        <f>IFERROR(INDEX(Lists!$C$5:$C$34,MATCH(B312,Lists!$A$5:$A$34,0)),"")</f>
        <v>Safety Advisor</v>
      </c>
      <c r="E312" s="9">
        <v>46288</v>
      </c>
      <c r="F312" s="10" t="str">
        <f t="shared" si="28"/>
        <v>Wed</v>
      </c>
      <c r="G312" s="7" t="s">
        <v>41</v>
      </c>
      <c r="H312" s="8" t="str">
        <f>IFERROR(INDEX(Lists!$F$5:$F$9,MATCH(G312,Lists!$E$5:$E$9,0)),"")</f>
        <v>Alder Energy (fictional)</v>
      </c>
      <c r="I312" s="8" t="str">
        <f>IFERROR(INDEX(Lists!$G$5:$G$9,MATCH(G312,Lists!$E$5:$E$9,0)),"")</f>
        <v>Y</v>
      </c>
      <c r="J312" s="11">
        <v>8</v>
      </c>
      <c r="K312" s="12">
        <v>98</v>
      </c>
      <c r="L312" s="13">
        <f>IF(I312&lt;&gt;"Y","",IFERROR(INDEX(Lists!$L$5:$L$20,MATCH(D312&amp;"|"&amp;G312,Lists!$I$5:$I$20,0)),""))</f>
        <v>98</v>
      </c>
      <c r="M312" s="10" t="str">
        <f t="shared" si="29"/>
        <v>E029|20260923|P101</v>
      </c>
      <c r="N312" s="10" t="str">
        <f>IF(COUNTIFS($M$5:M312,M312)&gt;1,"DUPLICATE","")</f>
        <v/>
      </c>
      <c r="O312" s="10" t="str">
        <f t="shared" si="30"/>
        <v/>
      </c>
      <c r="P312" s="10" t="str">
        <f t="shared" si="31"/>
        <v/>
      </c>
      <c r="Q312" s="10" t="str">
        <f>IF(COUNTIF(Lists!$E$5:$E$9,G312)=0,"PROJECT?","")</f>
        <v/>
      </c>
      <c r="R312" s="10" t="str">
        <f t="shared" si="32"/>
        <v/>
      </c>
      <c r="S312" s="10" t="str">
        <f>IF(AND(I312="Y",N312="",COUNTIF(Billing_Data!$H$5:$H$319,M312)=0),"NOT BILLED","")</f>
        <v/>
      </c>
      <c r="T312" s="14">
        <f t="shared" si="33"/>
        <v>0</v>
      </c>
      <c r="U312" s="15">
        <f t="shared" si="34"/>
        <v>784</v>
      </c>
    </row>
    <row r="313" spans="1:21" x14ac:dyDescent="0.25">
      <c r="A313" s="7" t="s">
        <v>382</v>
      </c>
      <c r="B313" s="7" t="s">
        <v>375</v>
      </c>
      <c r="C313" s="8" t="str">
        <f>IFERROR(INDEX(Lists!$B$5:$B$34,MATCH(B313,Lists!$A$5:$A$34,0)),"")</f>
        <v>Noel Doyle</v>
      </c>
      <c r="D313" s="8" t="str">
        <f>IFERROR(INDEX(Lists!$C$5:$C$34,MATCH(B313,Lists!$A$5:$A$34,0)),"")</f>
        <v>Safety Advisor</v>
      </c>
      <c r="E313" s="9">
        <v>46289</v>
      </c>
      <c r="F313" s="10" t="str">
        <f t="shared" si="28"/>
        <v>Thu</v>
      </c>
      <c r="G313" s="7" t="s">
        <v>41</v>
      </c>
      <c r="H313" s="8" t="str">
        <f>IFERROR(INDEX(Lists!$F$5:$F$9,MATCH(G313,Lists!$E$5:$E$9,0)),"")</f>
        <v>Alder Energy (fictional)</v>
      </c>
      <c r="I313" s="8" t="str">
        <f>IFERROR(INDEX(Lists!$G$5:$G$9,MATCH(G313,Lists!$E$5:$E$9,0)),"")</f>
        <v>Y</v>
      </c>
      <c r="J313" s="11">
        <v>8</v>
      </c>
      <c r="K313" s="12">
        <v>98</v>
      </c>
      <c r="L313" s="13">
        <f>IF(I313&lt;&gt;"Y","",IFERROR(INDEX(Lists!$L$5:$L$20,MATCH(D313&amp;"|"&amp;G313,Lists!$I$5:$I$20,0)),""))</f>
        <v>98</v>
      </c>
      <c r="M313" s="10" t="str">
        <f t="shared" si="29"/>
        <v>E029|20260924|P101</v>
      </c>
      <c r="N313" s="10" t="str">
        <f>IF(COUNTIFS($M$5:M313,M313)&gt;1,"DUPLICATE","")</f>
        <v/>
      </c>
      <c r="O313" s="10" t="str">
        <f t="shared" si="30"/>
        <v/>
      </c>
      <c r="P313" s="10" t="str">
        <f t="shared" si="31"/>
        <v/>
      </c>
      <c r="Q313" s="10" t="str">
        <f>IF(COUNTIF(Lists!$E$5:$E$9,G313)=0,"PROJECT?","")</f>
        <v/>
      </c>
      <c r="R313" s="10" t="str">
        <f t="shared" si="32"/>
        <v/>
      </c>
      <c r="S313" s="10" t="str">
        <f>IF(AND(I313="Y",N313="",COUNTIF(Billing_Data!$H$5:$H$319,M313)=0),"NOT BILLED","")</f>
        <v/>
      </c>
      <c r="T313" s="14">
        <f t="shared" si="33"/>
        <v>0</v>
      </c>
      <c r="U313" s="15">
        <f t="shared" si="34"/>
        <v>784</v>
      </c>
    </row>
    <row r="314" spans="1:21" x14ac:dyDescent="0.25">
      <c r="A314" s="7" t="s">
        <v>383</v>
      </c>
      <c r="B314" s="7" t="s">
        <v>375</v>
      </c>
      <c r="C314" s="8" t="str">
        <f>IFERROR(INDEX(Lists!$B$5:$B$34,MATCH(B314,Lists!$A$5:$A$34,0)),"")</f>
        <v>Noel Doyle</v>
      </c>
      <c r="D314" s="8" t="str">
        <f>IFERROR(INDEX(Lists!$C$5:$C$34,MATCH(B314,Lists!$A$5:$A$34,0)),"")</f>
        <v>Safety Advisor</v>
      </c>
      <c r="E314" s="9">
        <v>46290</v>
      </c>
      <c r="F314" s="10" t="str">
        <f t="shared" si="28"/>
        <v>Fri</v>
      </c>
      <c r="G314" s="7" t="s">
        <v>41</v>
      </c>
      <c r="H314" s="8" t="str">
        <f>IFERROR(INDEX(Lists!$F$5:$F$9,MATCH(G314,Lists!$E$5:$E$9,0)),"")</f>
        <v>Alder Energy (fictional)</v>
      </c>
      <c r="I314" s="8" t="str">
        <f>IFERROR(INDEX(Lists!$G$5:$G$9,MATCH(G314,Lists!$E$5:$E$9,0)),"")</f>
        <v>Y</v>
      </c>
      <c r="J314" s="11">
        <v>8</v>
      </c>
      <c r="K314" s="12">
        <v>98</v>
      </c>
      <c r="L314" s="13">
        <f>IF(I314&lt;&gt;"Y","",IFERROR(INDEX(Lists!$L$5:$L$20,MATCH(D314&amp;"|"&amp;G314,Lists!$I$5:$I$20,0)),""))</f>
        <v>98</v>
      </c>
      <c r="M314" s="10" t="str">
        <f t="shared" si="29"/>
        <v>E029|20260925|P101</v>
      </c>
      <c r="N314" s="10" t="str">
        <f>IF(COUNTIFS($M$5:M314,M314)&gt;1,"DUPLICATE","")</f>
        <v/>
      </c>
      <c r="O314" s="10" t="str">
        <f t="shared" si="30"/>
        <v/>
      </c>
      <c r="P314" s="10" t="str">
        <f t="shared" si="31"/>
        <v/>
      </c>
      <c r="Q314" s="10" t="str">
        <f>IF(COUNTIF(Lists!$E$5:$E$9,G314)=0,"PROJECT?","")</f>
        <v/>
      </c>
      <c r="R314" s="10" t="str">
        <f t="shared" si="32"/>
        <v/>
      </c>
      <c r="S314" s="10" t="str">
        <f>IF(AND(I314="Y",N314="",COUNTIF(Billing_Data!$H$5:$H$319,M314)=0),"NOT BILLED","")</f>
        <v/>
      </c>
      <c r="T314" s="14">
        <f t="shared" si="33"/>
        <v>0</v>
      </c>
      <c r="U314" s="15">
        <f t="shared" si="34"/>
        <v>784</v>
      </c>
    </row>
    <row r="315" spans="1:21" x14ac:dyDescent="0.25">
      <c r="A315" s="7" t="s">
        <v>384</v>
      </c>
      <c r="B315" s="7" t="s">
        <v>385</v>
      </c>
      <c r="C315" s="8" t="str">
        <f>IFERROR(INDEX(Lists!$B$5:$B$34,MATCH(B315,Lists!$A$5:$A$34,0)),"")</f>
        <v>Oakley Ellery</v>
      </c>
      <c r="D315" s="8" t="str">
        <f>IFERROR(INDEX(Lists!$C$5:$C$34,MATCH(B315,Lists!$A$5:$A$34,0)),"")</f>
        <v>Safety Advisor</v>
      </c>
      <c r="E315" s="9">
        <v>46279</v>
      </c>
      <c r="F315" s="10" t="str">
        <f t="shared" si="28"/>
        <v>Mon</v>
      </c>
      <c r="G315" s="7" t="s">
        <v>46</v>
      </c>
      <c r="H315" s="8" t="str">
        <f>IFERROR(INDEX(Lists!$F$5:$F$9,MATCH(G315,Lists!$E$5:$E$9,0)),"")</f>
        <v>Birchwood Midstream (fictional)</v>
      </c>
      <c r="I315" s="8" t="str">
        <f>IFERROR(INDEX(Lists!$G$5:$G$9,MATCH(G315,Lists!$E$5:$E$9,0)),"")</f>
        <v>Y</v>
      </c>
      <c r="J315" s="11">
        <v>4</v>
      </c>
      <c r="K315" s="12">
        <v>103</v>
      </c>
      <c r="L315" s="13">
        <f>IF(I315&lt;&gt;"Y","",IFERROR(INDEX(Lists!$L$5:$L$20,MATCH(D315&amp;"|"&amp;G315,Lists!$I$5:$I$20,0)),""))</f>
        <v>103</v>
      </c>
      <c r="M315" s="10" t="str">
        <f t="shared" si="29"/>
        <v>E030|20260914|P102</v>
      </c>
      <c r="N315" s="10" t="str">
        <f>IF(COUNTIFS($M$5:M315,M315)&gt;1,"DUPLICATE","")</f>
        <v/>
      </c>
      <c r="O315" s="10" t="str">
        <f t="shared" si="30"/>
        <v/>
      </c>
      <c r="P315" s="10" t="str">
        <f t="shared" si="31"/>
        <v/>
      </c>
      <c r="Q315" s="10" t="str">
        <f>IF(COUNTIF(Lists!$E$5:$E$9,G315)=0,"PROJECT?","")</f>
        <v/>
      </c>
      <c r="R315" s="10" t="str">
        <f t="shared" si="32"/>
        <v/>
      </c>
      <c r="S315" s="10" t="str">
        <f>IF(AND(I315="Y",N315="",COUNTIF(Billing_Data!$H$5:$H$319,M315)=0),"NOT BILLED","")</f>
        <v/>
      </c>
      <c r="T315" s="14">
        <f t="shared" si="33"/>
        <v>0</v>
      </c>
      <c r="U315" s="15">
        <f t="shared" si="34"/>
        <v>412</v>
      </c>
    </row>
    <row r="316" spans="1:21" x14ac:dyDescent="0.25">
      <c r="A316" s="7" t="s">
        <v>386</v>
      </c>
      <c r="B316" s="7" t="s">
        <v>385</v>
      </c>
      <c r="C316" s="8" t="str">
        <f>IFERROR(INDEX(Lists!$B$5:$B$34,MATCH(B316,Lists!$A$5:$A$34,0)),"")</f>
        <v>Oakley Ellery</v>
      </c>
      <c r="D316" s="8" t="str">
        <f>IFERROR(INDEX(Lists!$C$5:$C$34,MATCH(B316,Lists!$A$5:$A$34,0)),"")</f>
        <v>Safety Advisor</v>
      </c>
      <c r="E316" s="9">
        <v>46279</v>
      </c>
      <c r="F316" s="10" t="str">
        <f t="shared" si="28"/>
        <v>Mon</v>
      </c>
      <c r="G316" s="7" t="s">
        <v>53</v>
      </c>
      <c r="H316" s="8" t="str">
        <f>IFERROR(INDEX(Lists!$F$5:$F$9,MATCH(G316,Lists!$E$5:$E$9,0)),"")</f>
        <v>Internal / non-billable</v>
      </c>
      <c r="I316" s="8" t="str">
        <f>IFERROR(INDEX(Lists!$G$5:$G$9,MATCH(G316,Lists!$E$5:$E$9,0)),"")</f>
        <v>N</v>
      </c>
      <c r="J316" s="11">
        <v>4</v>
      </c>
      <c r="K316" s="12">
        <v>0</v>
      </c>
      <c r="L316" s="13" t="str">
        <f>IF(I316&lt;&gt;"Y","",IFERROR(INDEX(Lists!$L$5:$L$20,MATCH(D316&amp;"|"&amp;G316,Lists!$I$5:$I$20,0)),""))</f>
        <v/>
      </c>
      <c r="M316" s="10" t="str">
        <f t="shared" si="29"/>
        <v>E030|20260914|INT-001</v>
      </c>
      <c r="N316" s="10" t="str">
        <f>IF(COUNTIFS($M$5:M316,M316)&gt;1,"DUPLICATE","")</f>
        <v/>
      </c>
      <c r="O316" s="10" t="str">
        <f t="shared" si="30"/>
        <v/>
      </c>
      <c r="P316" s="10" t="str">
        <f t="shared" si="31"/>
        <v/>
      </c>
      <c r="Q316" s="10" t="str">
        <f>IF(COUNTIF(Lists!$E$5:$E$9,G316)=0,"PROJECT?","")</f>
        <v/>
      </c>
      <c r="R316" s="10" t="str">
        <f t="shared" si="32"/>
        <v/>
      </c>
      <c r="S316" s="10" t="str">
        <f>IF(AND(I316="Y",N316="",COUNTIF(Billing_Data!$H$5:$H$319,M316)=0),"NOT BILLED","")</f>
        <v/>
      </c>
      <c r="T316" s="14">
        <f t="shared" si="33"/>
        <v>0</v>
      </c>
      <c r="U316" s="15">
        <f t="shared" si="34"/>
        <v>0</v>
      </c>
    </row>
    <row r="317" spans="1:21" x14ac:dyDescent="0.25">
      <c r="A317" s="7" t="s">
        <v>387</v>
      </c>
      <c r="B317" s="7" t="s">
        <v>385</v>
      </c>
      <c r="C317" s="8" t="str">
        <f>IFERROR(INDEX(Lists!$B$5:$B$34,MATCH(B317,Lists!$A$5:$A$34,0)),"")</f>
        <v>Oakley Ellery</v>
      </c>
      <c r="D317" s="8" t="str">
        <f>IFERROR(INDEX(Lists!$C$5:$C$34,MATCH(B317,Lists!$A$5:$A$34,0)),"")</f>
        <v>Safety Advisor</v>
      </c>
      <c r="E317" s="9">
        <v>46280</v>
      </c>
      <c r="F317" s="10" t="str">
        <f t="shared" si="28"/>
        <v>Tue</v>
      </c>
      <c r="G317" s="7" t="s">
        <v>46</v>
      </c>
      <c r="H317" s="8" t="str">
        <f>IFERROR(INDEX(Lists!$F$5:$F$9,MATCH(G317,Lists!$E$5:$E$9,0)),"")</f>
        <v>Birchwood Midstream (fictional)</v>
      </c>
      <c r="I317" s="8" t="str">
        <f>IFERROR(INDEX(Lists!$G$5:$G$9,MATCH(G317,Lists!$E$5:$E$9,0)),"")</f>
        <v>Y</v>
      </c>
      <c r="J317" s="11">
        <v>8</v>
      </c>
      <c r="K317" s="12">
        <v>103</v>
      </c>
      <c r="L317" s="13">
        <f>IF(I317&lt;&gt;"Y","",IFERROR(INDEX(Lists!$L$5:$L$20,MATCH(D317&amp;"|"&amp;G317,Lists!$I$5:$I$20,0)),""))</f>
        <v>103</v>
      </c>
      <c r="M317" s="10" t="str">
        <f t="shared" si="29"/>
        <v>E030|20260915|P102</v>
      </c>
      <c r="N317" s="10" t="str">
        <f>IF(COUNTIFS($M$5:M317,M317)&gt;1,"DUPLICATE","")</f>
        <v/>
      </c>
      <c r="O317" s="10" t="str">
        <f t="shared" si="30"/>
        <v/>
      </c>
      <c r="P317" s="10" t="str">
        <f t="shared" si="31"/>
        <v/>
      </c>
      <c r="Q317" s="10" t="str">
        <f>IF(COUNTIF(Lists!$E$5:$E$9,G317)=0,"PROJECT?","")</f>
        <v/>
      </c>
      <c r="R317" s="10" t="str">
        <f t="shared" si="32"/>
        <v/>
      </c>
      <c r="S317" s="10" t="str">
        <f>IF(AND(I317="Y",N317="",COUNTIF(Billing_Data!$H$5:$H$319,M317)=0),"NOT BILLED","")</f>
        <v/>
      </c>
      <c r="T317" s="14">
        <f t="shared" si="33"/>
        <v>0</v>
      </c>
      <c r="U317" s="15">
        <f t="shared" si="34"/>
        <v>824</v>
      </c>
    </row>
    <row r="318" spans="1:21" x14ac:dyDescent="0.25">
      <c r="A318" s="7" t="s">
        <v>388</v>
      </c>
      <c r="B318" s="7" t="s">
        <v>385</v>
      </c>
      <c r="C318" s="8" t="str">
        <f>IFERROR(INDEX(Lists!$B$5:$B$34,MATCH(B318,Lists!$A$5:$A$34,0)),"")</f>
        <v>Oakley Ellery</v>
      </c>
      <c r="D318" s="8" t="str">
        <f>IFERROR(INDEX(Lists!$C$5:$C$34,MATCH(B318,Lists!$A$5:$A$34,0)),"")</f>
        <v>Safety Advisor</v>
      </c>
      <c r="E318" s="9">
        <v>46281</v>
      </c>
      <c r="F318" s="10" t="str">
        <f t="shared" si="28"/>
        <v>Wed</v>
      </c>
      <c r="G318" s="7" t="s">
        <v>46</v>
      </c>
      <c r="H318" s="8" t="str">
        <f>IFERROR(INDEX(Lists!$F$5:$F$9,MATCH(G318,Lists!$E$5:$E$9,0)),"")</f>
        <v>Birchwood Midstream (fictional)</v>
      </c>
      <c r="I318" s="8" t="str">
        <f>IFERROR(INDEX(Lists!$G$5:$G$9,MATCH(G318,Lists!$E$5:$E$9,0)),"")</f>
        <v>Y</v>
      </c>
      <c r="J318" s="11">
        <v>8</v>
      </c>
      <c r="K318" s="12">
        <v>103</v>
      </c>
      <c r="L318" s="13">
        <f>IF(I318&lt;&gt;"Y","",IFERROR(INDEX(Lists!$L$5:$L$20,MATCH(D318&amp;"|"&amp;G318,Lists!$I$5:$I$20,0)),""))</f>
        <v>103</v>
      </c>
      <c r="M318" s="10" t="str">
        <f t="shared" si="29"/>
        <v>E030|20260916|P102</v>
      </c>
      <c r="N318" s="10" t="str">
        <f>IF(COUNTIFS($M$5:M318,M318)&gt;1,"DUPLICATE","")</f>
        <v/>
      </c>
      <c r="O318" s="10" t="str">
        <f t="shared" si="30"/>
        <v/>
      </c>
      <c r="P318" s="10" t="str">
        <f t="shared" si="31"/>
        <v/>
      </c>
      <c r="Q318" s="10" t="str">
        <f>IF(COUNTIF(Lists!$E$5:$E$9,G318)=0,"PROJECT?","")</f>
        <v/>
      </c>
      <c r="R318" s="10" t="str">
        <f t="shared" si="32"/>
        <v/>
      </c>
      <c r="S318" s="10" t="str">
        <f>IF(AND(I318="Y",N318="",COUNTIF(Billing_Data!$H$5:$H$319,M318)=0),"NOT BILLED","")</f>
        <v/>
      </c>
      <c r="T318" s="14">
        <f t="shared" si="33"/>
        <v>0</v>
      </c>
      <c r="U318" s="15">
        <f t="shared" si="34"/>
        <v>824</v>
      </c>
    </row>
    <row r="319" spans="1:21" x14ac:dyDescent="0.25">
      <c r="A319" s="7" t="s">
        <v>389</v>
      </c>
      <c r="B319" s="7" t="s">
        <v>385</v>
      </c>
      <c r="C319" s="8" t="str">
        <f>IFERROR(INDEX(Lists!$B$5:$B$34,MATCH(B319,Lists!$A$5:$A$34,0)),"")</f>
        <v>Oakley Ellery</v>
      </c>
      <c r="D319" s="8" t="str">
        <f>IFERROR(INDEX(Lists!$C$5:$C$34,MATCH(B319,Lists!$A$5:$A$34,0)),"")</f>
        <v>Safety Advisor</v>
      </c>
      <c r="E319" s="9">
        <v>46282</v>
      </c>
      <c r="F319" s="10" t="str">
        <f t="shared" si="28"/>
        <v>Thu</v>
      </c>
      <c r="G319" s="7" t="s">
        <v>46</v>
      </c>
      <c r="H319" s="8" t="str">
        <f>IFERROR(INDEX(Lists!$F$5:$F$9,MATCH(G319,Lists!$E$5:$E$9,0)),"")</f>
        <v>Birchwood Midstream (fictional)</v>
      </c>
      <c r="I319" s="8" t="str">
        <f>IFERROR(INDEX(Lists!$G$5:$G$9,MATCH(G319,Lists!$E$5:$E$9,0)),"")</f>
        <v>Y</v>
      </c>
      <c r="J319" s="11">
        <v>8</v>
      </c>
      <c r="K319" s="12">
        <v>103</v>
      </c>
      <c r="L319" s="13">
        <f>IF(I319&lt;&gt;"Y","",IFERROR(INDEX(Lists!$L$5:$L$20,MATCH(D319&amp;"|"&amp;G319,Lists!$I$5:$I$20,0)),""))</f>
        <v>103</v>
      </c>
      <c r="M319" s="10" t="str">
        <f t="shared" si="29"/>
        <v>E030|20260917|P102</v>
      </c>
      <c r="N319" s="10" t="str">
        <f>IF(COUNTIFS($M$5:M319,M319)&gt;1,"DUPLICATE","")</f>
        <v/>
      </c>
      <c r="O319" s="10" t="str">
        <f t="shared" si="30"/>
        <v/>
      </c>
      <c r="P319" s="10" t="str">
        <f t="shared" si="31"/>
        <v/>
      </c>
      <c r="Q319" s="10" t="str">
        <f>IF(COUNTIF(Lists!$E$5:$E$9,G319)=0,"PROJECT?","")</f>
        <v/>
      </c>
      <c r="R319" s="10" t="str">
        <f t="shared" si="32"/>
        <v/>
      </c>
      <c r="S319" s="10" t="str">
        <f>IF(AND(I319="Y",N319="",COUNTIF(Billing_Data!$H$5:$H$319,M319)=0),"NOT BILLED","")</f>
        <v/>
      </c>
      <c r="T319" s="14">
        <f t="shared" si="33"/>
        <v>0</v>
      </c>
      <c r="U319" s="15">
        <f t="shared" si="34"/>
        <v>824</v>
      </c>
    </row>
    <row r="320" spans="1:21" x14ac:dyDescent="0.25">
      <c r="A320" s="7" t="s">
        <v>390</v>
      </c>
      <c r="B320" s="7" t="s">
        <v>385</v>
      </c>
      <c r="C320" s="8" t="str">
        <f>IFERROR(INDEX(Lists!$B$5:$B$34,MATCH(B320,Lists!$A$5:$A$34,0)),"")</f>
        <v>Oakley Ellery</v>
      </c>
      <c r="D320" s="8" t="str">
        <f>IFERROR(INDEX(Lists!$C$5:$C$34,MATCH(B320,Lists!$A$5:$A$34,0)),"")</f>
        <v>Safety Advisor</v>
      </c>
      <c r="E320" s="9">
        <v>46283</v>
      </c>
      <c r="F320" s="10" t="str">
        <f t="shared" si="28"/>
        <v>Fri</v>
      </c>
      <c r="G320" s="7" t="s">
        <v>46</v>
      </c>
      <c r="H320" s="8" t="str">
        <f>IFERROR(INDEX(Lists!$F$5:$F$9,MATCH(G320,Lists!$E$5:$E$9,0)),"")</f>
        <v>Birchwood Midstream (fictional)</v>
      </c>
      <c r="I320" s="8" t="str">
        <f>IFERROR(INDEX(Lists!$G$5:$G$9,MATCH(G320,Lists!$E$5:$E$9,0)),"")</f>
        <v>Y</v>
      </c>
      <c r="J320" s="11">
        <v>8</v>
      </c>
      <c r="K320" s="12">
        <v>103</v>
      </c>
      <c r="L320" s="13">
        <f>IF(I320&lt;&gt;"Y","",IFERROR(INDEX(Lists!$L$5:$L$20,MATCH(D320&amp;"|"&amp;G320,Lists!$I$5:$I$20,0)),""))</f>
        <v>103</v>
      </c>
      <c r="M320" s="10" t="str">
        <f t="shared" si="29"/>
        <v>E030|20260918|P102</v>
      </c>
      <c r="N320" s="10" t="str">
        <f>IF(COUNTIFS($M$5:M320,M320)&gt;1,"DUPLICATE","")</f>
        <v/>
      </c>
      <c r="O320" s="10" t="str">
        <f t="shared" si="30"/>
        <v/>
      </c>
      <c r="P320" s="10" t="str">
        <f t="shared" si="31"/>
        <v/>
      </c>
      <c r="Q320" s="10" t="str">
        <f>IF(COUNTIF(Lists!$E$5:$E$9,G320)=0,"PROJECT?","")</f>
        <v/>
      </c>
      <c r="R320" s="10" t="str">
        <f t="shared" si="32"/>
        <v/>
      </c>
      <c r="S320" s="10" t="str">
        <f>IF(AND(I320="Y",N320="",COUNTIF(Billing_Data!$H$5:$H$319,M320)=0),"NOT BILLED","")</f>
        <v/>
      </c>
      <c r="T320" s="14">
        <f t="shared" si="33"/>
        <v>0</v>
      </c>
      <c r="U320" s="15">
        <f t="shared" si="34"/>
        <v>824</v>
      </c>
    </row>
    <row r="321" spans="1:21" x14ac:dyDescent="0.25">
      <c r="A321" s="7" t="s">
        <v>391</v>
      </c>
      <c r="B321" s="7" t="s">
        <v>385</v>
      </c>
      <c r="C321" s="8" t="str">
        <f>IFERROR(INDEX(Lists!$B$5:$B$34,MATCH(B321,Lists!$A$5:$A$34,0)),"")</f>
        <v>Oakley Ellery</v>
      </c>
      <c r="D321" s="8" t="str">
        <f>IFERROR(INDEX(Lists!$C$5:$C$34,MATCH(B321,Lists!$A$5:$A$34,0)),"")</f>
        <v>Safety Advisor</v>
      </c>
      <c r="E321" s="9">
        <v>46286</v>
      </c>
      <c r="F321" s="10" t="str">
        <f t="shared" si="28"/>
        <v>Mon</v>
      </c>
      <c r="G321" s="7" t="s">
        <v>46</v>
      </c>
      <c r="H321" s="8" t="str">
        <f>IFERROR(INDEX(Lists!$F$5:$F$9,MATCH(G321,Lists!$E$5:$E$9,0)),"")</f>
        <v>Birchwood Midstream (fictional)</v>
      </c>
      <c r="I321" s="8" t="str">
        <f>IFERROR(INDEX(Lists!$G$5:$G$9,MATCH(G321,Lists!$E$5:$E$9,0)),"")</f>
        <v>Y</v>
      </c>
      <c r="J321" s="11">
        <v>8</v>
      </c>
      <c r="K321" s="12">
        <v>103</v>
      </c>
      <c r="L321" s="13">
        <f>IF(I321&lt;&gt;"Y","",IFERROR(INDEX(Lists!$L$5:$L$20,MATCH(D321&amp;"|"&amp;G321,Lists!$I$5:$I$20,0)),""))</f>
        <v>103</v>
      </c>
      <c r="M321" s="10" t="str">
        <f t="shared" si="29"/>
        <v>E030|20260921|P102</v>
      </c>
      <c r="N321" s="10" t="str">
        <f>IF(COUNTIFS($M$5:M321,M321)&gt;1,"DUPLICATE","")</f>
        <v/>
      </c>
      <c r="O321" s="10" t="str">
        <f t="shared" si="30"/>
        <v/>
      </c>
      <c r="P321" s="10" t="str">
        <f t="shared" si="31"/>
        <v/>
      </c>
      <c r="Q321" s="10" t="str">
        <f>IF(COUNTIF(Lists!$E$5:$E$9,G321)=0,"PROJECT?","")</f>
        <v/>
      </c>
      <c r="R321" s="10" t="str">
        <f t="shared" si="32"/>
        <v/>
      </c>
      <c r="S321" s="10" t="str">
        <f>IF(AND(I321="Y",N321="",COUNTIF(Billing_Data!$H$5:$H$319,M321)=0),"NOT BILLED","")</f>
        <v/>
      </c>
      <c r="T321" s="14">
        <f t="shared" si="33"/>
        <v>0</v>
      </c>
      <c r="U321" s="15">
        <f t="shared" si="34"/>
        <v>824</v>
      </c>
    </row>
    <row r="322" spans="1:21" x14ac:dyDescent="0.25">
      <c r="A322" s="7" t="s">
        <v>392</v>
      </c>
      <c r="B322" s="7" t="s">
        <v>385</v>
      </c>
      <c r="C322" s="8" t="str">
        <f>IFERROR(INDEX(Lists!$B$5:$B$34,MATCH(B322,Lists!$A$5:$A$34,0)),"")</f>
        <v>Oakley Ellery</v>
      </c>
      <c r="D322" s="8" t="str">
        <f>IFERROR(INDEX(Lists!$C$5:$C$34,MATCH(B322,Lists!$A$5:$A$34,0)),"")</f>
        <v>Safety Advisor</v>
      </c>
      <c r="E322" s="9">
        <v>46287</v>
      </c>
      <c r="F322" s="10" t="str">
        <f t="shared" si="28"/>
        <v>Tue</v>
      </c>
      <c r="G322" s="7" t="s">
        <v>46</v>
      </c>
      <c r="H322" s="8" t="str">
        <f>IFERROR(INDEX(Lists!$F$5:$F$9,MATCH(G322,Lists!$E$5:$E$9,0)),"")</f>
        <v>Birchwood Midstream (fictional)</v>
      </c>
      <c r="I322" s="8" t="str">
        <f>IFERROR(INDEX(Lists!$G$5:$G$9,MATCH(G322,Lists!$E$5:$E$9,0)),"")</f>
        <v>Y</v>
      </c>
      <c r="J322" s="11">
        <v>8</v>
      </c>
      <c r="K322" s="12">
        <v>103</v>
      </c>
      <c r="L322" s="13">
        <f>IF(I322&lt;&gt;"Y","",IFERROR(INDEX(Lists!$L$5:$L$20,MATCH(D322&amp;"|"&amp;G322,Lists!$I$5:$I$20,0)),""))</f>
        <v>103</v>
      </c>
      <c r="M322" s="10" t="str">
        <f t="shared" si="29"/>
        <v>E030|20260922|P102</v>
      </c>
      <c r="N322" s="10" t="str">
        <f>IF(COUNTIFS($M$5:M322,M322)&gt;1,"DUPLICATE","")</f>
        <v/>
      </c>
      <c r="O322" s="10" t="str">
        <f t="shared" si="30"/>
        <v/>
      </c>
      <c r="P322" s="10" t="str">
        <f t="shared" si="31"/>
        <v/>
      </c>
      <c r="Q322" s="10" t="str">
        <f>IF(COUNTIF(Lists!$E$5:$E$9,G322)=0,"PROJECT?","")</f>
        <v/>
      </c>
      <c r="R322" s="10" t="str">
        <f t="shared" si="32"/>
        <v/>
      </c>
      <c r="S322" s="10" t="str">
        <f>IF(AND(I322="Y",N322="",COUNTIF(Billing_Data!$H$5:$H$319,M322)=0),"NOT BILLED","")</f>
        <v/>
      </c>
      <c r="T322" s="14">
        <f t="shared" si="33"/>
        <v>0</v>
      </c>
      <c r="U322" s="15">
        <f t="shared" si="34"/>
        <v>824</v>
      </c>
    </row>
    <row r="323" spans="1:21" x14ac:dyDescent="0.25">
      <c r="A323" s="7" t="s">
        <v>393</v>
      </c>
      <c r="B323" s="7" t="s">
        <v>385</v>
      </c>
      <c r="C323" s="8" t="str">
        <f>IFERROR(INDEX(Lists!$B$5:$B$34,MATCH(B323,Lists!$A$5:$A$34,0)),"")</f>
        <v>Oakley Ellery</v>
      </c>
      <c r="D323" s="8" t="str">
        <f>IFERROR(INDEX(Lists!$C$5:$C$34,MATCH(B323,Lists!$A$5:$A$34,0)),"")</f>
        <v>Safety Advisor</v>
      </c>
      <c r="E323" s="9">
        <v>46288</v>
      </c>
      <c r="F323" s="10" t="str">
        <f t="shared" si="28"/>
        <v>Wed</v>
      </c>
      <c r="G323" s="7" t="s">
        <v>46</v>
      </c>
      <c r="H323" s="8" t="str">
        <f>IFERROR(INDEX(Lists!$F$5:$F$9,MATCH(G323,Lists!$E$5:$E$9,0)),"")</f>
        <v>Birchwood Midstream (fictional)</v>
      </c>
      <c r="I323" s="8" t="str">
        <f>IFERROR(INDEX(Lists!$G$5:$G$9,MATCH(G323,Lists!$E$5:$E$9,0)),"")</f>
        <v>Y</v>
      </c>
      <c r="J323" s="11">
        <v>8</v>
      </c>
      <c r="K323" s="12">
        <v>103</v>
      </c>
      <c r="L323" s="13">
        <f>IF(I323&lt;&gt;"Y","",IFERROR(INDEX(Lists!$L$5:$L$20,MATCH(D323&amp;"|"&amp;G323,Lists!$I$5:$I$20,0)),""))</f>
        <v>103</v>
      </c>
      <c r="M323" s="10" t="str">
        <f t="shared" si="29"/>
        <v>E030|20260923|P102</v>
      </c>
      <c r="N323" s="10" t="str">
        <f>IF(COUNTIFS($M$5:M323,M323)&gt;1,"DUPLICATE","")</f>
        <v/>
      </c>
      <c r="O323" s="10" t="str">
        <f t="shared" si="30"/>
        <v/>
      </c>
      <c r="P323" s="10" t="str">
        <f t="shared" si="31"/>
        <v/>
      </c>
      <c r="Q323" s="10" t="str">
        <f>IF(COUNTIF(Lists!$E$5:$E$9,G323)=0,"PROJECT?","")</f>
        <v/>
      </c>
      <c r="R323" s="10" t="str">
        <f t="shared" si="32"/>
        <v/>
      </c>
      <c r="S323" s="10" t="str">
        <f>IF(AND(I323="Y",N323="",COUNTIF(Billing_Data!$H$5:$H$319,M323)=0),"NOT BILLED","")</f>
        <v/>
      </c>
      <c r="T323" s="14">
        <f t="shared" si="33"/>
        <v>0</v>
      </c>
      <c r="U323" s="15">
        <f t="shared" si="34"/>
        <v>824</v>
      </c>
    </row>
    <row r="324" spans="1:21" x14ac:dyDescent="0.25">
      <c r="A324" s="7" t="s">
        <v>394</v>
      </c>
      <c r="B324" s="7" t="s">
        <v>385</v>
      </c>
      <c r="C324" s="8" t="str">
        <f>IFERROR(INDEX(Lists!$B$5:$B$34,MATCH(B324,Lists!$A$5:$A$34,0)),"")</f>
        <v>Oakley Ellery</v>
      </c>
      <c r="D324" s="8" t="str">
        <f>IFERROR(INDEX(Lists!$C$5:$C$34,MATCH(B324,Lists!$A$5:$A$34,0)),"")</f>
        <v>Safety Advisor</v>
      </c>
      <c r="E324" s="9">
        <v>46289</v>
      </c>
      <c r="F324" s="10" t="str">
        <f t="shared" si="28"/>
        <v>Thu</v>
      </c>
      <c r="G324" s="7" t="s">
        <v>46</v>
      </c>
      <c r="H324" s="8" t="str">
        <f>IFERROR(INDEX(Lists!$F$5:$F$9,MATCH(G324,Lists!$E$5:$E$9,0)),"")</f>
        <v>Birchwood Midstream (fictional)</v>
      </c>
      <c r="I324" s="8" t="str">
        <f>IFERROR(INDEX(Lists!$G$5:$G$9,MATCH(G324,Lists!$E$5:$E$9,0)),"")</f>
        <v>Y</v>
      </c>
      <c r="J324" s="11">
        <v>8</v>
      </c>
      <c r="K324" s="12">
        <v>103</v>
      </c>
      <c r="L324" s="13">
        <f>IF(I324&lt;&gt;"Y","",IFERROR(INDEX(Lists!$L$5:$L$20,MATCH(D324&amp;"|"&amp;G324,Lists!$I$5:$I$20,0)),""))</f>
        <v>103</v>
      </c>
      <c r="M324" s="10" t="str">
        <f t="shared" si="29"/>
        <v>E030|20260924|P102</v>
      </c>
      <c r="N324" s="10" t="str">
        <f>IF(COUNTIFS($M$5:M324,M324)&gt;1,"DUPLICATE","")</f>
        <v/>
      </c>
      <c r="O324" s="10" t="str">
        <f t="shared" si="30"/>
        <v/>
      </c>
      <c r="P324" s="10" t="str">
        <f t="shared" si="31"/>
        <v/>
      </c>
      <c r="Q324" s="10" t="str">
        <f>IF(COUNTIF(Lists!$E$5:$E$9,G324)=0,"PROJECT?","")</f>
        <v/>
      </c>
      <c r="R324" s="10" t="str">
        <f t="shared" si="32"/>
        <v/>
      </c>
      <c r="S324" s="10" t="str">
        <f>IF(AND(I324="Y",N324="",COUNTIF(Billing_Data!$H$5:$H$319,M324)=0),"NOT BILLED","")</f>
        <v/>
      </c>
      <c r="T324" s="14">
        <f t="shared" si="33"/>
        <v>0</v>
      </c>
      <c r="U324" s="15">
        <f t="shared" si="34"/>
        <v>824</v>
      </c>
    </row>
    <row r="325" spans="1:21" x14ac:dyDescent="0.25">
      <c r="A325" s="7" t="s">
        <v>395</v>
      </c>
      <c r="B325" s="7" t="s">
        <v>385</v>
      </c>
      <c r="C325" s="8" t="str">
        <f>IFERROR(INDEX(Lists!$B$5:$B$34,MATCH(B325,Lists!$A$5:$A$34,0)),"")</f>
        <v>Oakley Ellery</v>
      </c>
      <c r="D325" s="8" t="str">
        <f>IFERROR(INDEX(Lists!$C$5:$C$34,MATCH(B325,Lists!$A$5:$A$34,0)),"")</f>
        <v>Safety Advisor</v>
      </c>
      <c r="E325" s="9">
        <v>46290</v>
      </c>
      <c r="F325" s="10" t="str">
        <f t="shared" ref="F325:F332" si="35">TEXT(E325,"ddd")</f>
        <v>Fri</v>
      </c>
      <c r="G325" s="7" t="s">
        <v>46</v>
      </c>
      <c r="H325" s="8" t="str">
        <f>IFERROR(INDEX(Lists!$F$5:$F$9,MATCH(G325,Lists!$E$5:$E$9,0)),"")</f>
        <v>Birchwood Midstream (fictional)</v>
      </c>
      <c r="I325" s="8" t="str">
        <f>IFERROR(INDEX(Lists!$G$5:$G$9,MATCH(G325,Lists!$E$5:$E$9,0)),"")</f>
        <v>Y</v>
      </c>
      <c r="J325" s="11">
        <v>4</v>
      </c>
      <c r="K325" s="12">
        <v>103</v>
      </c>
      <c r="L325" s="13">
        <f>IF(I325&lt;&gt;"Y","",IFERROR(INDEX(Lists!$L$5:$L$20,MATCH(D325&amp;"|"&amp;G325,Lists!$I$5:$I$20,0)),""))</f>
        <v>103</v>
      </c>
      <c r="M325" s="10" t="str">
        <f t="shared" ref="M325:M332" si="36">B325&amp;"|"&amp;TEXT(E325,"yyyymmdd")&amp;"|"&amp;G325</f>
        <v>E030|20260925|P102</v>
      </c>
      <c r="N325" s="10" t="str">
        <f>IF(COUNTIFS($M$5:M325,M325)&gt;1,"DUPLICATE","")</f>
        <v/>
      </c>
      <c r="O325" s="10" t="str">
        <f t="shared" ref="O325:O332" si="37">IF(OR(J325&lt;=0,J325&gt;12),"HOURS?","")</f>
        <v/>
      </c>
      <c r="P325" s="10" t="str">
        <f t="shared" ref="P325:P332" si="38">IF(WEEKDAY(E325,2)&gt;5,"WEEKEND","")</f>
        <v/>
      </c>
      <c r="Q325" s="10" t="str">
        <f>IF(COUNTIF(Lists!$E$5:$E$9,G325)=0,"PROJECT?","")</f>
        <v/>
      </c>
      <c r="R325" s="10" t="str">
        <f t="shared" ref="R325:R332" si="39">IF(AND(I325="Y",L325&lt;&gt;"",K325&lt;&gt;L325),"RATE","")</f>
        <v/>
      </c>
      <c r="S325" s="10" t="str">
        <f>IF(AND(I325="Y",N325="",COUNTIF(Billing_Data!$H$5:$H$319,M325)=0),"NOT BILLED","")</f>
        <v/>
      </c>
      <c r="T325" s="14">
        <f t="shared" ref="T325:T332" si="40">SUMPRODUCT(--(LEN(N325:S325)&gt;0))</f>
        <v>0</v>
      </c>
      <c r="U325" s="15">
        <f t="shared" ref="U325:U332" si="41">IF(AND(I325="Y",N325="",L325&lt;&gt;""),J325*L325,0)</f>
        <v>412</v>
      </c>
    </row>
    <row r="326" spans="1:21" x14ac:dyDescent="0.25">
      <c r="A326" s="7" t="s">
        <v>396</v>
      </c>
      <c r="B326" s="7" t="s">
        <v>385</v>
      </c>
      <c r="C326" s="8" t="str">
        <f>IFERROR(INDEX(Lists!$B$5:$B$34,MATCH(B326,Lists!$A$5:$A$34,0)),"")</f>
        <v>Oakley Ellery</v>
      </c>
      <c r="D326" s="8" t="str">
        <f>IFERROR(INDEX(Lists!$C$5:$C$34,MATCH(B326,Lists!$A$5:$A$34,0)),"")</f>
        <v>Safety Advisor</v>
      </c>
      <c r="E326" s="9">
        <v>46290</v>
      </c>
      <c r="F326" s="10" t="str">
        <f t="shared" si="35"/>
        <v>Fri</v>
      </c>
      <c r="G326" s="7" t="s">
        <v>74</v>
      </c>
      <c r="H326" s="8" t="str">
        <f>IFERROR(INDEX(Lists!$F$5:$F$9,MATCH(G326,Lists!$E$5:$E$9,0)),"")</f>
        <v>Delta Environmental (fictional)</v>
      </c>
      <c r="I326" s="8" t="str">
        <f>IFERROR(INDEX(Lists!$G$5:$G$9,MATCH(G326,Lists!$E$5:$E$9,0)),"")</f>
        <v>Y</v>
      </c>
      <c r="J326" s="11">
        <v>4</v>
      </c>
      <c r="K326" s="12">
        <v>108</v>
      </c>
      <c r="L326" s="13">
        <f>IF(I326&lt;&gt;"Y","",IFERROR(INDEX(Lists!$L$5:$L$20,MATCH(D326&amp;"|"&amp;G326,Lists!$I$5:$I$20,0)),""))</f>
        <v>108</v>
      </c>
      <c r="M326" s="10" t="str">
        <f t="shared" si="36"/>
        <v>E030|20260925|P104</v>
      </c>
      <c r="N326" s="10" t="str">
        <f>IF(COUNTIFS($M$5:M326,M326)&gt;1,"DUPLICATE","")</f>
        <v/>
      </c>
      <c r="O326" s="10" t="str">
        <f t="shared" si="37"/>
        <v/>
      </c>
      <c r="P326" s="10" t="str">
        <f t="shared" si="38"/>
        <v/>
      </c>
      <c r="Q326" s="10" t="str">
        <f>IF(COUNTIF(Lists!$E$5:$E$9,G326)=0,"PROJECT?","")</f>
        <v/>
      </c>
      <c r="R326" s="10" t="str">
        <f t="shared" si="39"/>
        <v/>
      </c>
      <c r="S326" s="10" t="str">
        <f>IF(AND(I326="Y",N326="",COUNTIF(Billing_Data!$H$5:$H$319,M326)=0),"NOT BILLED","")</f>
        <v/>
      </c>
      <c r="T326" s="14">
        <f t="shared" si="40"/>
        <v>0</v>
      </c>
      <c r="U326" s="15">
        <f t="shared" si="41"/>
        <v>432</v>
      </c>
    </row>
    <row r="327" spans="1:21" x14ac:dyDescent="0.25">
      <c r="A327" s="7" t="s">
        <v>397</v>
      </c>
      <c r="B327" s="7" t="s">
        <v>72</v>
      </c>
      <c r="C327" s="8" t="str">
        <f>IFERROR(INDEX(Lists!$B$5:$B$34,MATCH(B327,Lists!$A$5:$A$34,0)),"")</f>
        <v>Taylor Calder</v>
      </c>
      <c r="D327" s="8" t="str">
        <f>IFERROR(INDEX(Lists!$C$5:$C$34,MATCH(B327,Lists!$A$5:$A$34,0)),"")</f>
        <v>Project Coordinator</v>
      </c>
      <c r="E327" s="9">
        <v>46284</v>
      </c>
      <c r="F327" s="10" t="str">
        <f t="shared" si="35"/>
        <v>Sat</v>
      </c>
      <c r="G327" s="7" t="s">
        <v>41</v>
      </c>
      <c r="H327" s="8" t="str">
        <f>IFERROR(INDEX(Lists!$F$5:$F$9,MATCH(G327,Lists!$E$5:$E$9,0)),"")</f>
        <v>Alder Energy (fictional)</v>
      </c>
      <c r="I327" s="8" t="str">
        <f>IFERROR(INDEX(Lists!$G$5:$G$9,MATCH(G327,Lists!$E$5:$E$9,0)),"")</f>
        <v>Y</v>
      </c>
      <c r="J327" s="11">
        <v>6</v>
      </c>
      <c r="K327" s="12">
        <v>78</v>
      </c>
      <c r="L327" s="13">
        <f>IF(I327&lt;&gt;"Y","",IFERROR(INDEX(Lists!$L$5:$L$20,MATCH(D327&amp;"|"&amp;G327,Lists!$I$5:$I$20,0)),""))</f>
        <v>78</v>
      </c>
      <c r="M327" s="10" t="str">
        <f t="shared" si="36"/>
        <v>E003|20260919|P101</v>
      </c>
      <c r="N327" s="10" t="str">
        <f>IF(COUNTIFS($M$5:M327,M327)&gt;1,"DUPLICATE","")</f>
        <v/>
      </c>
      <c r="O327" s="10" t="str">
        <f t="shared" si="37"/>
        <v/>
      </c>
      <c r="P327" s="10" t="str">
        <f t="shared" si="38"/>
        <v>WEEKEND</v>
      </c>
      <c r="Q327" s="10" t="str">
        <f>IF(COUNTIF(Lists!$E$5:$E$9,G327)=0,"PROJECT?","")</f>
        <v/>
      </c>
      <c r="R327" s="10" t="str">
        <f t="shared" si="39"/>
        <v/>
      </c>
      <c r="S327" s="10" t="str">
        <f>IF(AND(I327="Y",N327="",COUNTIF(Billing_Data!$H$5:$H$319,M327)=0),"NOT BILLED","")</f>
        <v/>
      </c>
      <c r="T327" s="14">
        <f t="shared" si="40"/>
        <v>1</v>
      </c>
      <c r="U327" s="15">
        <f t="shared" si="41"/>
        <v>468</v>
      </c>
    </row>
    <row r="328" spans="1:21" x14ac:dyDescent="0.25">
      <c r="A328" s="7" t="s">
        <v>398</v>
      </c>
      <c r="B328" s="7" t="s">
        <v>40</v>
      </c>
      <c r="C328" s="8" t="str">
        <f>IFERROR(INDEX(Lists!$B$5:$B$34,MATCH(B328,Lists!$A$5:$A$34,0)),"")</f>
        <v>Avery Abbott</v>
      </c>
      <c r="D328" s="8" t="str">
        <f>IFERROR(INDEX(Lists!$C$5:$C$34,MATCH(B328,Lists!$A$5:$A$34,0)),"")</f>
        <v>Project Coordinator</v>
      </c>
      <c r="E328" s="9">
        <v>46288</v>
      </c>
      <c r="F328" s="10" t="str">
        <f t="shared" si="35"/>
        <v>Wed</v>
      </c>
      <c r="G328" s="7" t="s">
        <v>41</v>
      </c>
      <c r="H328" s="8" t="str">
        <f>IFERROR(INDEX(Lists!$F$5:$F$9,MATCH(G328,Lists!$E$5:$E$9,0)),"")</f>
        <v>Alder Energy (fictional)</v>
      </c>
      <c r="I328" s="8" t="str">
        <f>IFERROR(INDEX(Lists!$G$5:$G$9,MATCH(G328,Lists!$E$5:$E$9,0)),"")</f>
        <v>Y</v>
      </c>
      <c r="J328" s="11">
        <v>8</v>
      </c>
      <c r="K328" s="12">
        <v>78</v>
      </c>
      <c r="L328" s="13">
        <f>IF(I328&lt;&gt;"Y","",IFERROR(INDEX(Lists!$L$5:$L$20,MATCH(D328&amp;"|"&amp;G328,Lists!$I$5:$I$20,0)),""))</f>
        <v>78</v>
      </c>
      <c r="M328" s="10" t="str">
        <f t="shared" si="36"/>
        <v>E001|20260923|P101</v>
      </c>
      <c r="N328" s="10" t="str">
        <f>IF(COUNTIFS($M$5:M328,M328)&gt;1,"DUPLICATE","")</f>
        <v>DUPLICATE</v>
      </c>
      <c r="O328" s="10" t="str">
        <f t="shared" si="37"/>
        <v/>
      </c>
      <c r="P328" s="10" t="str">
        <f t="shared" si="38"/>
        <v/>
      </c>
      <c r="Q328" s="10" t="str">
        <f>IF(COUNTIF(Lists!$E$5:$E$9,G328)=0,"PROJECT?","")</f>
        <v/>
      </c>
      <c r="R328" s="10" t="str">
        <f t="shared" si="39"/>
        <v/>
      </c>
      <c r="S328" s="10" t="str">
        <f>IF(AND(I328="Y",N328="",COUNTIF(Billing_Data!$H$5:$H$319,M328)=0),"NOT BILLED","")</f>
        <v/>
      </c>
      <c r="T328" s="14">
        <f t="shared" si="40"/>
        <v>1</v>
      </c>
      <c r="U328" s="15">
        <f t="shared" si="41"/>
        <v>0</v>
      </c>
    </row>
    <row r="329" spans="1:21" x14ac:dyDescent="0.25">
      <c r="A329" s="7" t="s">
        <v>399</v>
      </c>
      <c r="B329" s="7" t="s">
        <v>110</v>
      </c>
      <c r="C329" s="8" t="str">
        <f>IFERROR(INDEX(Lists!$B$5:$B$34,MATCH(B329,Lists!$A$5:$A$34,0)),"")</f>
        <v>Casey Fenwick</v>
      </c>
      <c r="D329" s="8" t="str">
        <f>IFERROR(INDEX(Lists!$C$5:$C$34,MATCH(B329,Lists!$A$5:$A$34,0)),"")</f>
        <v>Project Coordinator</v>
      </c>
      <c r="E329" s="9">
        <v>46279</v>
      </c>
      <c r="F329" s="10" t="str">
        <f t="shared" si="35"/>
        <v>Mon</v>
      </c>
      <c r="G329" s="7" t="s">
        <v>46</v>
      </c>
      <c r="H329" s="8" t="str">
        <f>IFERROR(INDEX(Lists!$F$5:$F$9,MATCH(G329,Lists!$E$5:$E$9,0)),"")</f>
        <v>Birchwood Midstream (fictional)</v>
      </c>
      <c r="I329" s="8" t="str">
        <f>IFERROR(INDEX(Lists!$G$5:$G$9,MATCH(G329,Lists!$E$5:$E$9,0)),"")</f>
        <v>Y</v>
      </c>
      <c r="J329" s="11">
        <v>4</v>
      </c>
      <c r="K329" s="12">
        <v>82</v>
      </c>
      <c r="L329" s="13">
        <f>IF(I329&lt;&gt;"Y","",IFERROR(INDEX(Lists!$L$5:$L$20,MATCH(D329&amp;"|"&amp;G329,Lists!$I$5:$I$20,0)),""))</f>
        <v>82</v>
      </c>
      <c r="M329" s="10" t="str">
        <f t="shared" si="36"/>
        <v>E006|20260914|P102</v>
      </c>
      <c r="N329" s="10" t="str">
        <f>IF(COUNTIFS($M$5:M329,M329)&gt;1,"DUPLICATE","")</f>
        <v>DUPLICATE</v>
      </c>
      <c r="O329" s="10" t="str">
        <f t="shared" si="37"/>
        <v/>
      </c>
      <c r="P329" s="10" t="str">
        <f t="shared" si="38"/>
        <v/>
      </c>
      <c r="Q329" s="10" t="str">
        <f>IF(COUNTIF(Lists!$E$5:$E$9,G329)=0,"PROJECT?","")</f>
        <v/>
      </c>
      <c r="R329" s="10" t="str">
        <f t="shared" si="39"/>
        <v/>
      </c>
      <c r="S329" s="10" t="str">
        <f>IF(AND(I329="Y",N329="",COUNTIF(Billing_Data!$H$5:$H$319,M329)=0),"NOT BILLED","")</f>
        <v/>
      </c>
      <c r="T329" s="14">
        <f t="shared" si="40"/>
        <v>1</v>
      </c>
      <c r="U329" s="15">
        <f t="shared" si="41"/>
        <v>0</v>
      </c>
    </row>
    <row r="330" spans="1:21" x14ac:dyDescent="0.25">
      <c r="A330" s="7" t="s">
        <v>400</v>
      </c>
      <c r="B330" s="7" t="s">
        <v>158</v>
      </c>
      <c r="C330" s="8" t="str">
        <f>IFERROR(INDEX(Lists!$B$5:$B$34,MATCH(B330,Lists!$A$5:$A$34,0)),"")</f>
        <v>Sage Jarvis</v>
      </c>
      <c r="D330" s="8" t="str">
        <f>IFERROR(INDEX(Lists!$C$5:$C$34,MATCH(B330,Lists!$A$5:$A$34,0)),"")</f>
        <v>Estimator</v>
      </c>
      <c r="E330" s="9">
        <v>46287</v>
      </c>
      <c r="F330" s="10" t="str">
        <f t="shared" si="35"/>
        <v>Tue</v>
      </c>
      <c r="G330" s="7" t="s">
        <v>46</v>
      </c>
      <c r="H330" s="8" t="str">
        <f>IFERROR(INDEX(Lists!$F$5:$F$9,MATCH(G330,Lists!$E$5:$E$9,0)),"")</f>
        <v>Birchwood Midstream (fictional)</v>
      </c>
      <c r="I330" s="8" t="str">
        <f>IFERROR(INDEX(Lists!$G$5:$G$9,MATCH(G330,Lists!$E$5:$E$9,0)),"")</f>
        <v>Y</v>
      </c>
      <c r="J330" s="11">
        <v>8</v>
      </c>
      <c r="K330" s="12">
        <v>110</v>
      </c>
      <c r="L330" s="13">
        <f>IF(I330&lt;&gt;"Y","",IFERROR(INDEX(Lists!$L$5:$L$20,MATCH(D330&amp;"|"&amp;G330,Lists!$I$5:$I$20,0)),""))</f>
        <v>110</v>
      </c>
      <c r="M330" s="10" t="str">
        <f t="shared" si="36"/>
        <v>E010|20260922|P102</v>
      </c>
      <c r="N330" s="10" t="str">
        <f>IF(COUNTIFS($M$5:M330,M330)&gt;1,"DUPLICATE","")</f>
        <v>DUPLICATE</v>
      </c>
      <c r="O330" s="10" t="str">
        <f t="shared" si="37"/>
        <v/>
      </c>
      <c r="P330" s="10" t="str">
        <f t="shared" si="38"/>
        <v/>
      </c>
      <c r="Q330" s="10" t="str">
        <f>IF(COUNTIF(Lists!$E$5:$E$9,G330)=0,"PROJECT?","")</f>
        <v/>
      </c>
      <c r="R330" s="10" t="str">
        <f t="shared" si="39"/>
        <v/>
      </c>
      <c r="S330" s="10" t="str">
        <f>IF(AND(I330="Y",N330="",COUNTIF(Billing_Data!$H$5:$H$319,M330)=0),"NOT BILLED","")</f>
        <v/>
      </c>
      <c r="T330" s="14">
        <f t="shared" si="40"/>
        <v>1</v>
      </c>
      <c r="U330" s="15">
        <f t="shared" si="41"/>
        <v>0</v>
      </c>
    </row>
    <row r="331" spans="1:21" x14ac:dyDescent="0.25">
      <c r="A331" s="7" t="s">
        <v>401</v>
      </c>
      <c r="B331" s="7" t="s">
        <v>229</v>
      </c>
      <c r="C331" s="8" t="str">
        <f>IFERROR(INDEX(Lists!$B$5:$B$34,MATCH(B331,Lists!$A$5:$A$34,0)),"")</f>
        <v>Kendall Pruitt</v>
      </c>
      <c r="D331" s="8" t="str">
        <f>IFERROR(INDEX(Lists!$C$5:$C$34,MATCH(B331,Lists!$A$5:$A$34,0)),"")</f>
        <v>Field Supervisor</v>
      </c>
      <c r="E331" s="9">
        <v>46281</v>
      </c>
      <c r="F331" s="10" t="str">
        <f t="shared" si="35"/>
        <v>Wed</v>
      </c>
      <c r="G331" s="7" t="s">
        <v>74</v>
      </c>
      <c r="H331" s="8" t="str">
        <f>IFERROR(INDEX(Lists!$F$5:$F$9,MATCH(G331,Lists!$E$5:$E$9,0)),"")</f>
        <v>Delta Environmental (fictional)</v>
      </c>
      <c r="I331" s="8" t="str">
        <f>IFERROR(INDEX(Lists!$G$5:$G$9,MATCH(G331,Lists!$E$5:$E$9,0)),"")</f>
        <v>Y</v>
      </c>
      <c r="J331" s="11">
        <v>8</v>
      </c>
      <c r="K331" s="12">
        <v>130</v>
      </c>
      <c r="L331" s="13">
        <f>IF(I331&lt;&gt;"Y","",IFERROR(INDEX(Lists!$L$5:$L$20,MATCH(D331&amp;"|"&amp;G331,Lists!$I$5:$I$20,0)),""))</f>
        <v>130</v>
      </c>
      <c r="M331" s="10" t="str">
        <f t="shared" si="36"/>
        <v>E016|20260916|P104</v>
      </c>
      <c r="N331" s="10" t="str">
        <f>IF(COUNTIFS($M$5:M331,M331)&gt;1,"DUPLICATE","")</f>
        <v>DUPLICATE</v>
      </c>
      <c r="O331" s="10" t="str">
        <f t="shared" si="37"/>
        <v/>
      </c>
      <c r="P331" s="10" t="str">
        <f t="shared" si="38"/>
        <v/>
      </c>
      <c r="Q331" s="10" t="str">
        <f>IF(COUNTIF(Lists!$E$5:$E$9,G331)=0,"PROJECT?","")</f>
        <v/>
      </c>
      <c r="R331" s="10" t="str">
        <f t="shared" si="39"/>
        <v/>
      </c>
      <c r="S331" s="10" t="str">
        <f>IF(AND(I331="Y",N331="",COUNTIF(Billing_Data!$H$5:$H$319,M331)=0),"NOT BILLED","")</f>
        <v/>
      </c>
      <c r="T331" s="14">
        <f t="shared" si="40"/>
        <v>1</v>
      </c>
      <c r="U331" s="15">
        <f t="shared" si="41"/>
        <v>0</v>
      </c>
    </row>
    <row r="332" spans="1:21" x14ac:dyDescent="0.25">
      <c r="A332" s="7" t="s">
        <v>402</v>
      </c>
      <c r="B332" s="7" t="s">
        <v>295</v>
      </c>
      <c r="C332" s="8" t="str">
        <f>IFERROR(INDEX(Lists!$B$5:$B$34,MATCH(B332,Lists!$A$5:$A$34,0)),"")</f>
        <v>Drew Vance</v>
      </c>
      <c r="D332" s="8" t="str">
        <f>IFERROR(INDEX(Lists!$C$5:$C$34,MATCH(B332,Lists!$A$5:$A$34,0)),"")</f>
        <v>Field Supervisor</v>
      </c>
      <c r="E332" s="9">
        <v>46281</v>
      </c>
      <c r="F332" s="10" t="str">
        <f t="shared" si="35"/>
        <v>Wed</v>
      </c>
      <c r="G332" s="7" t="s">
        <v>46</v>
      </c>
      <c r="H332" s="8" t="str">
        <f>IFERROR(INDEX(Lists!$F$5:$F$9,MATCH(G332,Lists!$E$5:$E$9,0)),"")</f>
        <v>Birchwood Midstream (fictional)</v>
      </c>
      <c r="I332" s="8" t="str">
        <f>IFERROR(INDEX(Lists!$G$5:$G$9,MATCH(G332,Lists!$E$5:$E$9,0)),"")</f>
        <v>Y</v>
      </c>
      <c r="J332" s="11">
        <v>8</v>
      </c>
      <c r="K332" s="12">
        <v>124</v>
      </c>
      <c r="L332" s="13">
        <f>IF(I332&lt;&gt;"Y","",IFERROR(INDEX(Lists!$L$5:$L$20,MATCH(D332&amp;"|"&amp;G332,Lists!$I$5:$I$20,0)),""))</f>
        <v>124</v>
      </c>
      <c r="M332" s="10" t="str">
        <f t="shared" si="36"/>
        <v>E022|20260916|P102</v>
      </c>
      <c r="N332" s="10" t="str">
        <f>IF(COUNTIFS($M$5:M332,M332)&gt;1,"DUPLICATE","")</f>
        <v>DUPLICATE</v>
      </c>
      <c r="O332" s="10" t="str">
        <f t="shared" si="37"/>
        <v/>
      </c>
      <c r="P332" s="10" t="str">
        <f t="shared" si="38"/>
        <v/>
      </c>
      <c r="Q332" s="10" t="str">
        <f>IF(COUNTIF(Lists!$E$5:$E$9,G332)=0,"PROJECT?","")</f>
        <v/>
      </c>
      <c r="R332" s="10" t="str">
        <f t="shared" si="39"/>
        <v/>
      </c>
      <c r="S332" s="10" t="str">
        <f>IF(AND(I332="Y",N332="",COUNTIF(Billing_Data!$H$5:$H$319,M332)=0),"NOT BILLED","")</f>
        <v/>
      </c>
      <c r="T332" s="14">
        <f t="shared" si="40"/>
        <v>1</v>
      </c>
      <c r="U332" s="15">
        <f t="shared" si="41"/>
        <v>0</v>
      </c>
    </row>
  </sheetData>
  <autoFilter ref="A4:U332" xr:uid="{00000000-0009-0000-0000-000001000000}"/>
  <mergeCells count="1">
    <mergeCell ref="A1:V1"/>
  </mergeCells>
  <conditionalFormatting sqref="N5:S332">
    <cfRule type="expression" dxfId="5" priority="2">
      <formula>LEN(N5)&gt;0</formula>
    </cfRule>
  </conditionalFormatting>
  <conditionalFormatting sqref="T5:T332">
    <cfRule type="cellIs" dxfId="4" priority="3" operator="greaterThan">
      <formula>0</formula>
    </cfRule>
  </conditionalFormatting>
  <dataValidations count="2">
    <dataValidation type="decimal" showErrorMessage="1" errorTitle="Hours out of range" error="Hours must be between 0.25 and 12 per entry." sqref="J5:J332" xr:uid="{00000000-0002-0000-0100-000002000000}">
      <formula1>0.25</formula1>
      <formula2>12</formula2>
    </dataValidation>
    <dataValidation type="custom" showErrorMessage="1" errorTitle="Invalid date" error="Date must be a weekday in the period 2026-09-14 to 2026-09-25." sqref="E5:E332" xr:uid="{00000000-0002-0000-0100-000003000000}">
      <formula1>AND(E5&gt;=DATE(2026,9,14),E5&lt;=DATE(2026,9,25),WEEKDAY(E5,2)&lt;6)</formula1>
      <formula2>0</formula2>
    </dataValidation>
  </dataValidations>
  <printOptions horizontalCentered="1"/>
  <pageMargins left="0.4" right="0.4" top="0.5" bottom="0.5"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Invalid entry" error="Use an employee ID from Lists." xr:uid="{00000000-0002-0000-0100-000000000000}">
          <x14:formula1>
            <xm:f>Lists!$A$5:$A$34</xm:f>
          </x14:formula1>
          <x14:formula2>
            <xm:f>0</xm:f>
          </x14:formula2>
          <xm:sqref>B5:B332</xm:sqref>
        </x14:dataValidation>
        <x14:dataValidation type="list" allowBlank="1" showErrorMessage="1" errorTitle="Invalid entry" error="Use a project code from Lists." xr:uid="{00000000-0002-0000-0100-000001000000}">
          <x14:formula1>
            <xm:f>Lists!$E$5:$E$9</xm:f>
          </x14:formula1>
          <x14:formula2>
            <xm:f>0</xm:f>
          </x14:formula2>
          <xm:sqref>G5:G332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319"/>
  <sheetViews>
    <sheetView zoomScaleNormal="100" workbookViewId="0">
      <pane xSplit="4" ySplit="4" topLeftCell="E5" activePane="bottomRight" state="frozen"/>
      <selection pane="topRight" activeCell="E1" sqref="E1"/>
      <selection pane="bottomLeft" activeCell="A5" sqref="A5"/>
      <selection pane="bottomRight" sqref="A1:O1"/>
    </sheetView>
  </sheetViews>
  <sheetFormatPr defaultColWidth="8.7109375" defaultRowHeight="15" x14ac:dyDescent="0.25"/>
  <cols>
    <col min="1" max="2" width="10" customWidth="1"/>
    <col min="3" max="3" width="11" customWidth="1"/>
    <col min="4" max="5" width="9" customWidth="1"/>
    <col min="6" max="6" width="10" customWidth="1"/>
    <col min="7" max="7" width="12" customWidth="1"/>
    <col min="8" max="8" width="22" customWidth="1"/>
    <col min="9" max="9" width="13" customWidth="1"/>
    <col min="10" max="10" width="11" customWidth="1"/>
    <col min="11" max="12" width="10" customWidth="1"/>
    <col min="13" max="14" width="12" customWidth="1"/>
    <col min="15" max="15" width="15" customWidth="1"/>
  </cols>
  <sheetData>
    <row r="1" spans="1:15" ht="30" customHeight="1" x14ac:dyDescent="0.25">
      <c r="A1" s="33" t="s">
        <v>0</v>
      </c>
      <c r="B1" s="33"/>
      <c r="C1" s="33"/>
      <c r="D1" s="33"/>
      <c r="E1" s="33"/>
      <c r="F1" s="33"/>
      <c r="G1" s="33"/>
      <c r="H1" s="33"/>
      <c r="I1" s="33"/>
      <c r="J1" s="33"/>
      <c r="K1" s="33"/>
      <c r="L1" s="33"/>
      <c r="M1" s="33"/>
      <c r="N1" s="33"/>
      <c r="O1" s="33"/>
    </row>
    <row r="2" spans="1:15" ht="18" x14ac:dyDescent="0.25">
      <c r="A2" s="1" t="s">
        <v>403</v>
      </c>
    </row>
    <row r="4" spans="1:15" ht="43.5" customHeight="1" x14ac:dyDescent="0.25">
      <c r="A4" s="6" t="s">
        <v>404</v>
      </c>
      <c r="B4" s="6" t="s">
        <v>19</v>
      </c>
      <c r="C4" s="6" t="s">
        <v>22</v>
      </c>
      <c r="D4" s="6" t="s">
        <v>24</v>
      </c>
      <c r="E4" s="6" t="s">
        <v>405</v>
      </c>
      <c r="F4" s="6" t="s">
        <v>406</v>
      </c>
      <c r="G4" s="6" t="s">
        <v>407</v>
      </c>
      <c r="H4" s="6" t="s">
        <v>30</v>
      </c>
      <c r="I4" s="6" t="s">
        <v>408</v>
      </c>
      <c r="J4" s="6" t="s">
        <v>409</v>
      </c>
      <c r="K4" s="6" t="s">
        <v>29</v>
      </c>
      <c r="L4" s="6" t="s">
        <v>410</v>
      </c>
      <c r="M4" s="6" t="s">
        <v>38</v>
      </c>
      <c r="N4" s="6" t="s">
        <v>411</v>
      </c>
      <c r="O4" s="6" t="s">
        <v>412</v>
      </c>
    </row>
    <row r="5" spans="1:15" x14ac:dyDescent="0.25">
      <c r="A5" s="7" t="s">
        <v>413</v>
      </c>
      <c r="B5" s="7" t="s">
        <v>40</v>
      </c>
      <c r="C5" s="9">
        <v>46279</v>
      </c>
      <c r="D5" s="7" t="s">
        <v>41</v>
      </c>
      <c r="E5" s="11">
        <v>8</v>
      </c>
      <c r="F5" s="12">
        <v>78</v>
      </c>
      <c r="G5" s="16">
        <v>624</v>
      </c>
      <c r="H5" s="10" t="str">
        <f t="shared" ref="H5:H68" si="0">B5&amp;"|"&amp;TEXT(C5,"yyyymmdd")&amp;"|"&amp;D5</f>
        <v>E001|20260914|P101</v>
      </c>
      <c r="I5" s="17">
        <f>SUMIFS(Time_Entries!$J$5:$J$332,Time_Entries!$M$5:$M$332,H5,Time_Entries!$N$5:$N$332,"")</f>
        <v>8</v>
      </c>
      <c r="J5" s="18">
        <f t="shared" ref="J5:J68" si="1">E5-I5</f>
        <v>0</v>
      </c>
      <c r="K5" s="13">
        <f>IFERROR(INDEX(Lists!$L$5:$L$20,MATCH(INDEX(Lists!$C$5:$C$34,MATCH(B5,Lists!$A$5:$A$34,0))&amp;"|"&amp;D5,Lists!$I$5:$I$20,0)),"")</f>
        <v>78</v>
      </c>
      <c r="L5" s="19">
        <f t="shared" ref="L5:L68" si="2">IF(K5="","",F5-K5)</f>
        <v>0</v>
      </c>
      <c r="M5" s="15">
        <f t="shared" ref="M5:M68" si="3">IF(K5="",0,I5*K5)</f>
        <v>624</v>
      </c>
      <c r="N5" s="20">
        <f t="shared" ref="N5:N68" si="4">G5-M5</f>
        <v>0</v>
      </c>
      <c r="O5" s="10" t="str">
        <f t="shared" ref="O5:O68" si="5">IF(I5=0,"NO TIME ENTRY",IF(ABS(J5)&gt;0.001,"HOURS",IF(AND(K5&lt;&gt;"",ABS(L5)&gt;0.001),"RATE","OK")))</f>
        <v>OK</v>
      </c>
    </row>
    <row r="6" spans="1:15" x14ac:dyDescent="0.25">
      <c r="A6" s="7" t="s">
        <v>414</v>
      </c>
      <c r="B6" s="7" t="s">
        <v>58</v>
      </c>
      <c r="C6" s="9">
        <v>46279</v>
      </c>
      <c r="D6" s="7" t="s">
        <v>41</v>
      </c>
      <c r="E6" s="11">
        <v>4</v>
      </c>
      <c r="F6" s="12">
        <v>78</v>
      </c>
      <c r="G6" s="16">
        <v>312</v>
      </c>
      <c r="H6" s="10" t="str">
        <f t="shared" si="0"/>
        <v>E002|20260914|P101</v>
      </c>
      <c r="I6" s="17">
        <f>SUMIFS(Time_Entries!$J$5:$J$332,Time_Entries!$M$5:$M$332,H6,Time_Entries!$N$5:$N$332,"")</f>
        <v>4</v>
      </c>
      <c r="J6" s="18">
        <f t="shared" si="1"/>
        <v>0</v>
      </c>
      <c r="K6" s="13">
        <f>IFERROR(INDEX(Lists!$L$5:$L$20,MATCH(INDEX(Lists!$C$5:$C$34,MATCH(B6,Lists!$A$5:$A$34,0))&amp;"|"&amp;D6,Lists!$I$5:$I$20,0)),"")</f>
        <v>78</v>
      </c>
      <c r="L6" s="19">
        <f t="shared" si="2"/>
        <v>0</v>
      </c>
      <c r="M6" s="15">
        <f t="shared" si="3"/>
        <v>312</v>
      </c>
      <c r="N6" s="20">
        <f t="shared" si="4"/>
        <v>0</v>
      </c>
      <c r="O6" s="10" t="str">
        <f t="shared" si="5"/>
        <v>OK</v>
      </c>
    </row>
    <row r="7" spans="1:15" x14ac:dyDescent="0.25">
      <c r="A7" s="7" t="s">
        <v>415</v>
      </c>
      <c r="B7" s="7" t="s">
        <v>58</v>
      </c>
      <c r="C7" s="9">
        <v>46279</v>
      </c>
      <c r="D7" s="7" t="s">
        <v>46</v>
      </c>
      <c r="E7" s="11">
        <v>4</v>
      </c>
      <c r="F7" s="12">
        <v>82</v>
      </c>
      <c r="G7" s="16">
        <v>328</v>
      </c>
      <c r="H7" s="10" t="str">
        <f t="shared" si="0"/>
        <v>E002|20260914|P102</v>
      </c>
      <c r="I7" s="17">
        <f>SUMIFS(Time_Entries!$J$5:$J$332,Time_Entries!$M$5:$M$332,H7,Time_Entries!$N$5:$N$332,"")</f>
        <v>4</v>
      </c>
      <c r="J7" s="18">
        <f t="shared" si="1"/>
        <v>0</v>
      </c>
      <c r="K7" s="13">
        <f>IFERROR(INDEX(Lists!$L$5:$L$20,MATCH(INDEX(Lists!$C$5:$C$34,MATCH(B7,Lists!$A$5:$A$34,0))&amp;"|"&amp;D7,Lists!$I$5:$I$20,0)),"")</f>
        <v>82</v>
      </c>
      <c r="L7" s="19">
        <f t="shared" si="2"/>
        <v>0</v>
      </c>
      <c r="M7" s="15">
        <f t="shared" si="3"/>
        <v>328</v>
      </c>
      <c r="N7" s="20">
        <f t="shared" si="4"/>
        <v>0</v>
      </c>
      <c r="O7" s="10" t="str">
        <f t="shared" si="5"/>
        <v>OK</v>
      </c>
    </row>
    <row r="8" spans="1:15" x14ac:dyDescent="0.25">
      <c r="A8" s="7" t="s">
        <v>416</v>
      </c>
      <c r="B8" s="7" t="s">
        <v>72</v>
      </c>
      <c r="C8" s="9">
        <v>46279</v>
      </c>
      <c r="D8" s="7" t="s">
        <v>50</v>
      </c>
      <c r="E8" s="11">
        <v>4</v>
      </c>
      <c r="F8" s="12">
        <v>74</v>
      </c>
      <c r="G8" s="16">
        <v>296</v>
      </c>
      <c r="H8" s="10" t="str">
        <f t="shared" si="0"/>
        <v>E003|20260914|P103</v>
      </c>
      <c r="I8" s="17">
        <f>SUMIFS(Time_Entries!$J$5:$J$332,Time_Entries!$M$5:$M$332,H8,Time_Entries!$N$5:$N$332,"")</f>
        <v>4</v>
      </c>
      <c r="J8" s="18">
        <f t="shared" si="1"/>
        <v>0</v>
      </c>
      <c r="K8" s="13">
        <f>IFERROR(INDEX(Lists!$L$5:$L$20,MATCH(INDEX(Lists!$C$5:$C$34,MATCH(B8,Lists!$A$5:$A$34,0))&amp;"|"&amp;D8,Lists!$I$5:$I$20,0)),"")</f>
        <v>74</v>
      </c>
      <c r="L8" s="19">
        <f t="shared" si="2"/>
        <v>0</v>
      </c>
      <c r="M8" s="15">
        <f t="shared" si="3"/>
        <v>296</v>
      </c>
      <c r="N8" s="20">
        <f t="shared" si="4"/>
        <v>0</v>
      </c>
      <c r="O8" s="10" t="str">
        <f t="shared" si="5"/>
        <v>OK</v>
      </c>
    </row>
    <row r="9" spans="1:15" x14ac:dyDescent="0.25">
      <c r="A9" s="7" t="s">
        <v>417</v>
      </c>
      <c r="B9" s="7" t="s">
        <v>72</v>
      </c>
      <c r="C9" s="9">
        <v>46279</v>
      </c>
      <c r="D9" s="7" t="s">
        <v>74</v>
      </c>
      <c r="E9" s="11">
        <v>4</v>
      </c>
      <c r="F9" s="12">
        <v>86</v>
      </c>
      <c r="G9" s="16">
        <v>344</v>
      </c>
      <c r="H9" s="10" t="str">
        <f t="shared" si="0"/>
        <v>E003|20260914|P104</v>
      </c>
      <c r="I9" s="17">
        <f>SUMIFS(Time_Entries!$J$5:$J$332,Time_Entries!$M$5:$M$332,H9,Time_Entries!$N$5:$N$332,"")</f>
        <v>4</v>
      </c>
      <c r="J9" s="18">
        <f t="shared" si="1"/>
        <v>0</v>
      </c>
      <c r="K9" s="13">
        <f>IFERROR(INDEX(Lists!$L$5:$L$20,MATCH(INDEX(Lists!$C$5:$C$34,MATCH(B9,Lists!$A$5:$A$34,0))&amp;"|"&amp;D9,Lists!$I$5:$I$20,0)),"")</f>
        <v>86</v>
      </c>
      <c r="L9" s="19">
        <f t="shared" si="2"/>
        <v>0</v>
      </c>
      <c r="M9" s="15">
        <f t="shared" si="3"/>
        <v>344</v>
      </c>
      <c r="N9" s="20">
        <f t="shared" si="4"/>
        <v>0</v>
      </c>
      <c r="O9" s="10" t="str">
        <f t="shared" si="5"/>
        <v>OK</v>
      </c>
    </row>
    <row r="10" spans="1:15" x14ac:dyDescent="0.25">
      <c r="A10" s="7" t="s">
        <v>418</v>
      </c>
      <c r="B10" s="7" t="s">
        <v>87</v>
      </c>
      <c r="C10" s="9">
        <v>46279</v>
      </c>
      <c r="D10" s="7" t="s">
        <v>74</v>
      </c>
      <c r="E10" s="11">
        <v>8</v>
      </c>
      <c r="F10" s="12">
        <v>86</v>
      </c>
      <c r="G10" s="16">
        <v>688</v>
      </c>
      <c r="H10" s="10" t="str">
        <f t="shared" si="0"/>
        <v>E004|20260914|P104</v>
      </c>
      <c r="I10" s="17">
        <f>SUMIFS(Time_Entries!$J$5:$J$332,Time_Entries!$M$5:$M$332,H10,Time_Entries!$N$5:$N$332,"")</f>
        <v>8</v>
      </c>
      <c r="J10" s="18">
        <f t="shared" si="1"/>
        <v>0</v>
      </c>
      <c r="K10" s="13">
        <f>IFERROR(INDEX(Lists!$L$5:$L$20,MATCH(INDEX(Lists!$C$5:$C$34,MATCH(B10,Lists!$A$5:$A$34,0))&amp;"|"&amp;D10,Lists!$I$5:$I$20,0)),"")</f>
        <v>86</v>
      </c>
      <c r="L10" s="19">
        <f t="shared" si="2"/>
        <v>0</v>
      </c>
      <c r="M10" s="15">
        <f t="shared" si="3"/>
        <v>688</v>
      </c>
      <c r="N10" s="20">
        <f t="shared" si="4"/>
        <v>0</v>
      </c>
      <c r="O10" s="10" t="str">
        <f t="shared" si="5"/>
        <v>OK</v>
      </c>
    </row>
    <row r="11" spans="1:15" x14ac:dyDescent="0.25">
      <c r="A11" s="7" t="s">
        <v>419</v>
      </c>
      <c r="B11" s="7" t="s">
        <v>99</v>
      </c>
      <c r="C11" s="9">
        <v>46279</v>
      </c>
      <c r="D11" s="7" t="s">
        <v>41</v>
      </c>
      <c r="E11" s="11">
        <v>8</v>
      </c>
      <c r="F11" s="12">
        <v>78</v>
      </c>
      <c r="G11" s="16">
        <v>624</v>
      </c>
      <c r="H11" s="10" t="str">
        <f t="shared" si="0"/>
        <v>E005|20260914|P101</v>
      </c>
      <c r="I11" s="17">
        <f>SUMIFS(Time_Entries!$J$5:$J$332,Time_Entries!$M$5:$M$332,H11,Time_Entries!$N$5:$N$332,"")</f>
        <v>8</v>
      </c>
      <c r="J11" s="18">
        <f t="shared" si="1"/>
        <v>0</v>
      </c>
      <c r="K11" s="13">
        <f>IFERROR(INDEX(Lists!$L$5:$L$20,MATCH(INDEX(Lists!$C$5:$C$34,MATCH(B11,Lists!$A$5:$A$34,0))&amp;"|"&amp;D11,Lists!$I$5:$I$20,0)),"")</f>
        <v>78</v>
      </c>
      <c r="L11" s="19">
        <f t="shared" si="2"/>
        <v>0</v>
      </c>
      <c r="M11" s="15">
        <f t="shared" si="3"/>
        <v>624</v>
      </c>
      <c r="N11" s="20">
        <f t="shared" si="4"/>
        <v>0</v>
      </c>
      <c r="O11" s="10" t="str">
        <f t="shared" si="5"/>
        <v>OK</v>
      </c>
    </row>
    <row r="12" spans="1:15" x14ac:dyDescent="0.25">
      <c r="A12" s="7" t="s">
        <v>420</v>
      </c>
      <c r="B12" s="7" t="s">
        <v>110</v>
      </c>
      <c r="C12" s="9">
        <v>46279</v>
      </c>
      <c r="D12" s="7" t="s">
        <v>46</v>
      </c>
      <c r="E12" s="11">
        <v>4</v>
      </c>
      <c r="F12" s="12">
        <v>82</v>
      </c>
      <c r="G12" s="16">
        <v>328</v>
      </c>
      <c r="H12" s="10" t="str">
        <f t="shared" si="0"/>
        <v>E006|20260914|P102</v>
      </c>
      <c r="I12" s="17">
        <f>SUMIFS(Time_Entries!$J$5:$J$332,Time_Entries!$M$5:$M$332,H12,Time_Entries!$N$5:$N$332,"")</f>
        <v>4</v>
      </c>
      <c r="J12" s="18">
        <f t="shared" si="1"/>
        <v>0</v>
      </c>
      <c r="K12" s="13">
        <f>IFERROR(INDEX(Lists!$L$5:$L$20,MATCH(INDEX(Lists!$C$5:$C$34,MATCH(B12,Lists!$A$5:$A$34,0))&amp;"|"&amp;D12,Lists!$I$5:$I$20,0)),"")</f>
        <v>82</v>
      </c>
      <c r="L12" s="19">
        <f t="shared" si="2"/>
        <v>0</v>
      </c>
      <c r="M12" s="15">
        <f t="shared" si="3"/>
        <v>328</v>
      </c>
      <c r="N12" s="20">
        <f t="shared" si="4"/>
        <v>0</v>
      </c>
      <c r="O12" s="10" t="str">
        <f t="shared" si="5"/>
        <v>OK</v>
      </c>
    </row>
    <row r="13" spans="1:15" x14ac:dyDescent="0.25">
      <c r="A13" s="7" t="s">
        <v>421</v>
      </c>
      <c r="B13" s="7" t="s">
        <v>110</v>
      </c>
      <c r="C13" s="9">
        <v>46279</v>
      </c>
      <c r="D13" s="7" t="s">
        <v>74</v>
      </c>
      <c r="E13" s="11">
        <v>4</v>
      </c>
      <c r="F13" s="12">
        <v>86</v>
      </c>
      <c r="G13" s="16">
        <v>344</v>
      </c>
      <c r="H13" s="10" t="str">
        <f t="shared" si="0"/>
        <v>E006|20260914|P104</v>
      </c>
      <c r="I13" s="17">
        <f>SUMIFS(Time_Entries!$J$5:$J$332,Time_Entries!$M$5:$M$332,H13,Time_Entries!$N$5:$N$332,"")</f>
        <v>4</v>
      </c>
      <c r="J13" s="18">
        <f t="shared" si="1"/>
        <v>0</v>
      </c>
      <c r="K13" s="13">
        <f>IFERROR(INDEX(Lists!$L$5:$L$20,MATCH(INDEX(Lists!$C$5:$C$34,MATCH(B13,Lists!$A$5:$A$34,0))&amp;"|"&amp;D13,Lists!$I$5:$I$20,0)),"")</f>
        <v>86</v>
      </c>
      <c r="L13" s="19">
        <f t="shared" si="2"/>
        <v>0</v>
      </c>
      <c r="M13" s="15">
        <f t="shared" si="3"/>
        <v>344</v>
      </c>
      <c r="N13" s="20">
        <f t="shared" si="4"/>
        <v>0</v>
      </c>
      <c r="O13" s="10" t="str">
        <f t="shared" si="5"/>
        <v>OK</v>
      </c>
    </row>
    <row r="14" spans="1:15" x14ac:dyDescent="0.25">
      <c r="A14" s="7" t="s">
        <v>422</v>
      </c>
      <c r="B14" s="7" t="s">
        <v>124</v>
      </c>
      <c r="C14" s="9">
        <v>46279</v>
      </c>
      <c r="D14" s="7" t="s">
        <v>50</v>
      </c>
      <c r="E14" s="11">
        <v>8</v>
      </c>
      <c r="F14" s="12">
        <v>74</v>
      </c>
      <c r="G14" s="16">
        <v>592</v>
      </c>
      <c r="H14" s="10" t="str">
        <f t="shared" si="0"/>
        <v>E007|20260914|P103</v>
      </c>
      <c r="I14" s="17">
        <f>SUMIFS(Time_Entries!$J$5:$J$332,Time_Entries!$M$5:$M$332,H14,Time_Entries!$N$5:$N$332,"")</f>
        <v>8</v>
      </c>
      <c r="J14" s="18">
        <f t="shared" si="1"/>
        <v>0</v>
      </c>
      <c r="K14" s="13">
        <f>IFERROR(INDEX(Lists!$L$5:$L$20,MATCH(INDEX(Lists!$C$5:$C$34,MATCH(B14,Lists!$A$5:$A$34,0))&amp;"|"&amp;D14,Lists!$I$5:$I$20,0)),"")</f>
        <v>74</v>
      </c>
      <c r="L14" s="19">
        <f t="shared" si="2"/>
        <v>0</v>
      </c>
      <c r="M14" s="15">
        <f t="shared" si="3"/>
        <v>592</v>
      </c>
      <c r="N14" s="20">
        <f t="shared" si="4"/>
        <v>0</v>
      </c>
      <c r="O14" s="10" t="str">
        <f t="shared" si="5"/>
        <v>OK</v>
      </c>
    </row>
    <row r="15" spans="1:15" x14ac:dyDescent="0.25">
      <c r="A15" s="7" t="s">
        <v>423</v>
      </c>
      <c r="B15" s="7" t="s">
        <v>136</v>
      </c>
      <c r="C15" s="9">
        <v>46279</v>
      </c>
      <c r="D15" s="7" t="s">
        <v>74</v>
      </c>
      <c r="E15" s="11">
        <v>8</v>
      </c>
      <c r="F15" s="12">
        <v>86</v>
      </c>
      <c r="G15" s="16">
        <v>688</v>
      </c>
      <c r="H15" s="10" t="str">
        <f t="shared" si="0"/>
        <v>E008|20260914|P104</v>
      </c>
      <c r="I15" s="17">
        <f>SUMIFS(Time_Entries!$J$5:$J$332,Time_Entries!$M$5:$M$332,H15,Time_Entries!$N$5:$N$332,"")</f>
        <v>8</v>
      </c>
      <c r="J15" s="18">
        <f t="shared" si="1"/>
        <v>0</v>
      </c>
      <c r="K15" s="13">
        <f>IFERROR(INDEX(Lists!$L$5:$L$20,MATCH(INDEX(Lists!$C$5:$C$34,MATCH(B15,Lists!$A$5:$A$34,0))&amp;"|"&amp;D15,Lists!$I$5:$I$20,0)),"")</f>
        <v>86</v>
      </c>
      <c r="L15" s="19">
        <f t="shared" si="2"/>
        <v>0</v>
      </c>
      <c r="M15" s="15">
        <f t="shared" si="3"/>
        <v>688</v>
      </c>
      <c r="N15" s="20">
        <f t="shared" si="4"/>
        <v>0</v>
      </c>
      <c r="O15" s="10" t="str">
        <f t="shared" si="5"/>
        <v>OK</v>
      </c>
    </row>
    <row r="16" spans="1:15" x14ac:dyDescent="0.25">
      <c r="A16" s="7" t="s">
        <v>424</v>
      </c>
      <c r="B16" s="7" t="s">
        <v>147</v>
      </c>
      <c r="C16" s="9">
        <v>46279</v>
      </c>
      <c r="D16" s="7" t="s">
        <v>41</v>
      </c>
      <c r="E16" s="11">
        <v>8</v>
      </c>
      <c r="F16" s="12">
        <v>78</v>
      </c>
      <c r="G16" s="16">
        <v>624</v>
      </c>
      <c r="H16" s="10" t="str">
        <f t="shared" si="0"/>
        <v>E009|20260914|P101</v>
      </c>
      <c r="I16" s="17">
        <f>SUMIFS(Time_Entries!$J$5:$J$332,Time_Entries!$M$5:$M$332,H16,Time_Entries!$N$5:$N$332,"")</f>
        <v>8</v>
      </c>
      <c r="J16" s="18">
        <f t="shared" si="1"/>
        <v>0</v>
      </c>
      <c r="K16" s="13">
        <f>IFERROR(INDEX(Lists!$L$5:$L$20,MATCH(INDEX(Lists!$C$5:$C$34,MATCH(B16,Lists!$A$5:$A$34,0))&amp;"|"&amp;D16,Lists!$I$5:$I$20,0)),"")</f>
        <v>78</v>
      </c>
      <c r="L16" s="19">
        <f t="shared" si="2"/>
        <v>0</v>
      </c>
      <c r="M16" s="15">
        <f t="shared" si="3"/>
        <v>624</v>
      </c>
      <c r="N16" s="20">
        <f t="shared" si="4"/>
        <v>0</v>
      </c>
      <c r="O16" s="10" t="str">
        <f t="shared" si="5"/>
        <v>OK</v>
      </c>
    </row>
    <row r="17" spans="1:15" x14ac:dyDescent="0.25">
      <c r="A17" s="7" t="s">
        <v>425</v>
      </c>
      <c r="B17" s="7" t="s">
        <v>158</v>
      </c>
      <c r="C17" s="9">
        <v>46279</v>
      </c>
      <c r="D17" s="7" t="s">
        <v>46</v>
      </c>
      <c r="E17" s="11">
        <v>8</v>
      </c>
      <c r="F17" s="12">
        <v>110</v>
      </c>
      <c r="G17" s="16">
        <v>880</v>
      </c>
      <c r="H17" s="10" t="str">
        <f t="shared" si="0"/>
        <v>E010|20260914|P102</v>
      </c>
      <c r="I17" s="17">
        <f>SUMIFS(Time_Entries!$J$5:$J$332,Time_Entries!$M$5:$M$332,H17,Time_Entries!$N$5:$N$332,"")</f>
        <v>8</v>
      </c>
      <c r="J17" s="18">
        <f t="shared" si="1"/>
        <v>0</v>
      </c>
      <c r="K17" s="13">
        <f>IFERROR(INDEX(Lists!$L$5:$L$20,MATCH(INDEX(Lists!$C$5:$C$34,MATCH(B17,Lists!$A$5:$A$34,0))&amp;"|"&amp;D17,Lists!$I$5:$I$20,0)),"")</f>
        <v>110</v>
      </c>
      <c r="L17" s="19">
        <f t="shared" si="2"/>
        <v>0</v>
      </c>
      <c r="M17" s="15">
        <f t="shared" si="3"/>
        <v>880</v>
      </c>
      <c r="N17" s="20">
        <f t="shared" si="4"/>
        <v>0</v>
      </c>
      <c r="O17" s="10" t="str">
        <f t="shared" si="5"/>
        <v>OK</v>
      </c>
    </row>
    <row r="18" spans="1:15" x14ac:dyDescent="0.25">
      <c r="A18" s="7" t="s">
        <v>426</v>
      </c>
      <c r="B18" s="7" t="s">
        <v>170</v>
      </c>
      <c r="C18" s="9">
        <v>46279</v>
      </c>
      <c r="D18" s="7" t="s">
        <v>50</v>
      </c>
      <c r="E18" s="11">
        <v>8</v>
      </c>
      <c r="F18" s="12">
        <v>100</v>
      </c>
      <c r="G18" s="16">
        <v>800</v>
      </c>
      <c r="H18" s="10" t="str">
        <f t="shared" si="0"/>
        <v>E011|20260914|P103</v>
      </c>
      <c r="I18" s="17">
        <f>SUMIFS(Time_Entries!$J$5:$J$332,Time_Entries!$M$5:$M$332,H18,Time_Entries!$N$5:$N$332,"")</f>
        <v>8</v>
      </c>
      <c r="J18" s="18">
        <f t="shared" si="1"/>
        <v>0</v>
      </c>
      <c r="K18" s="13">
        <f>IFERROR(INDEX(Lists!$L$5:$L$20,MATCH(INDEX(Lists!$C$5:$C$34,MATCH(B18,Lists!$A$5:$A$34,0))&amp;"|"&amp;D18,Lists!$I$5:$I$20,0)),"")</f>
        <v>100</v>
      </c>
      <c r="L18" s="19">
        <f t="shared" si="2"/>
        <v>0</v>
      </c>
      <c r="M18" s="15">
        <f t="shared" si="3"/>
        <v>800</v>
      </c>
      <c r="N18" s="20">
        <f t="shared" si="4"/>
        <v>0</v>
      </c>
      <c r="O18" s="10" t="str">
        <f t="shared" si="5"/>
        <v>OK</v>
      </c>
    </row>
    <row r="19" spans="1:15" x14ac:dyDescent="0.25">
      <c r="A19" s="7" t="s">
        <v>427</v>
      </c>
      <c r="B19" s="7" t="s">
        <v>180</v>
      </c>
      <c r="C19" s="9">
        <v>46279</v>
      </c>
      <c r="D19" s="7" t="s">
        <v>74</v>
      </c>
      <c r="E19" s="11">
        <v>8</v>
      </c>
      <c r="F19" s="12">
        <v>116</v>
      </c>
      <c r="G19" s="16">
        <v>928</v>
      </c>
      <c r="H19" s="10" t="str">
        <f t="shared" si="0"/>
        <v>E012|20260914|P104</v>
      </c>
      <c r="I19" s="17">
        <f>SUMIFS(Time_Entries!$J$5:$J$332,Time_Entries!$M$5:$M$332,H19,Time_Entries!$N$5:$N$332,"")</f>
        <v>8</v>
      </c>
      <c r="J19" s="18">
        <f t="shared" si="1"/>
        <v>0</v>
      </c>
      <c r="K19" s="13">
        <f>IFERROR(INDEX(Lists!$L$5:$L$20,MATCH(INDEX(Lists!$C$5:$C$34,MATCH(B19,Lists!$A$5:$A$34,0))&amp;"|"&amp;D19,Lists!$I$5:$I$20,0)),"")</f>
        <v>116</v>
      </c>
      <c r="L19" s="19">
        <f t="shared" si="2"/>
        <v>0</v>
      </c>
      <c r="M19" s="15">
        <f t="shared" si="3"/>
        <v>928</v>
      </c>
      <c r="N19" s="20">
        <f t="shared" si="4"/>
        <v>0</v>
      </c>
      <c r="O19" s="10" t="str">
        <f t="shared" si="5"/>
        <v>OK</v>
      </c>
    </row>
    <row r="20" spans="1:15" x14ac:dyDescent="0.25">
      <c r="A20" s="7" t="s">
        <v>428</v>
      </c>
      <c r="B20" s="7" t="s">
        <v>194</v>
      </c>
      <c r="C20" s="9">
        <v>46279</v>
      </c>
      <c r="D20" s="7" t="s">
        <v>41</v>
      </c>
      <c r="E20" s="11">
        <v>8</v>
      </c>
      <c r="F20" s="12">
        <v>105</v>
      </c>
      <c r="G20" s="16">
        <v>840</v>
      </c>
      <c r="H20" s="10" t="str">
        <f t="shared" si="0"/>
        <v>E013|20260914|P101</v>
      </c>
      <c r="I20" s="17">
        <f>SUMIFS(Time_Entries!$J$5:$J$332,Time_Entries!$M$5:$M$332,H20,Time_Entries!$N$5:$N$332,"")</f>
        <v>8</v>
      </c>
      <c r="J20" s="18">
        <f t="shared" si="1"/>
        <v>0</v>
      </c>
      <c r="K20" s="13">
        <f>IFERROR(INDEX(Lists!$L$5:$L$20,MATCH(INDEX(Lists!$C$5:$C$34,MATCH(B20,Lists!$A$5:$A$34,0))&amp;"|"&amp;D20,Lists!$I$5:$I$20,0)),"")</f>
        <v>105</v>
      </c>
      <c r="L20" s="19">
        <f t="shared" si="2"/>
        <v>0</v>
      </c>
      <c r="M20" s="15">
        <f t="shared" si="3"/>
        <v>840</v>
      </c>
      <c r="N20" s="20">
        <f t="shared" si="4"/>
        <v>0</v>
      </c>
      <c r="O20" s="10" t="str">
        <f t="shared" si="5"/>
        <v>OK</v>
      </c>
    </row>
    <row r="21" spans="1:15" x14ac:dyDescent="0.25">
      <c r="A21" s="7" t="s">
        <v>429</v>
      </c>
      <c r="B21" s="7" t="s">
        <v>206</v>
      </c>
      <c r="C21" s="9">
        <v>46279</v>
      </c>
      <c r="D21" s="7" t="s">
        <v>46</v>
      </c>
      <c r="E21" s="11">
        <v>8</v>
      </c>
      <c r="F21" s="12">
        <v>110</v>
      </c>
      <c r="G21" s="16">
        <v>880</v>
      </c>
      <c r="H21" s="10" t="str">
        <f t="shared" si="0"/>
        <v>E014|20260914|P102</v>
      </c>
      <c r="I21" s="17">
        <f>SUMIFS(Time_Entries!$J$5:$J$332,Time_Entries!$M$5:$M$332,H21,Time_Entries!$N$5:$N$332,"")</f>
        <v>8</v>
      </c>
      <c r="J21" s="18">
        <f t="shared" si="1"/>
        <v>0</v>
      </c>
      <c r="K21" s="13">
        <f>IFERROR(INDEX(Lists!$L$5:$L$20,MATCH(INDEX(Lists!$C$5:$C$34,MATCH(B21,Lists!$A$5:$A$34,0))&amp;"|"&amp;D21,Lists!$I$5:$I$20,0)),"")</f>
        <v>110</v>
      </c>
      <c r="L21" s="19">
        <f t="shared" si="2"/>
        <v>0</v>
      </c>
      <c r="M21" s="15">
        <f t="shared" si="3"/>
        <v>880</v>
      </c>
      <c r="N21" s="20">
        <f t="shared" si="4"/>
        <v>0</v>
      </c>
      <c r="O21" s="10" t="str">
        <f t="shared" si="5"/>
        <v>OK</v>
      </c>
    </row>
    <row r="22" spans="1:15" x14ac:dyDescent="0.25">
      <c r="A22" s="7" t="s">
        <v>430</v>
      </c>
      <c r="B22" s="7" t="s">
        <v>217</v>
      </c>
      <c r="C22" s="9">
        <v>46279</v>
      </c>
      <c r="D22" s="7" t="s">
        <v>50</v>
      </c>
      <c r="E22" s="11">
        <v>8</v>
      </c>
      <c r="F22" s="12">
        <v>100</v>
      </c>
      <c r="G22" s="16">
        <v>800</v>
      </c>
      <c r="H22" s="10" t="str">
        <f t="shared" si="0"/>
        <v>E015|20260914|P103</v>
      </c>
      <c r="I22" s="17">
        <f>SUMIFS(Time_Entries!$J$5:$J$332,Time_Entries!$M$5:$M$332,H22,Time_Entries!$N$5:$N$332,"")</f>
        <v>8</v>
      </c>
      <c r="J22" s="18">
        <f t="shared" si="1"/>
        <v>0</v>
      </c>
      <c r="K22" s="13">
        <f>IFERROR(INDEX(Lists!$L$5:$L$20,MATCH(INDEX(Lists!$C$5:$C$34,MATCH(B22,Lists!$A$5:$A$34,0))&amp;"|"&amp;D22,Lists!$I$5:$I$20,0)),"")</f>
        <v>100</v>
      </c>
      <c r="L22" s="19">
        <f t="shared" si="2"/>
        <v>0</v>
      </c>
      <c r="M22" s="15">
        <f t="shared" si="3"/>
        <v>800</v>
      </c>
      <c r="N22" s="20">
        <f t="shared" si="4"/>
        <v>0</v>
      </c>
      <c r="O22" s="10" t="str">
        <f t="shared" si="5"/>
        <v>OK</v>
      </c>
    </row>
    <row r="23" spans="1:15" x14ac:dyDescent="0.25">
      <c r="A23" s="7" t="s">
        <v>431</v>
      </c>
      <c r="B23" s="7" t="s">
        <v>229</v>
      </c>
      <c r="C23" s="9">
        <v>46279</v>
      </c>
      <c r="D23" s="7" t="s">
        <v>74</v>
      </c>
      <c r="E23" s="11">
        <v>8</v>
      </c>
      <c r="F23" s="12">
        <v>130</v>
      </c>
      <c r="G23" s="16">
        <v>1040</v>
      </c>
      <c r="H23" s="10" t="str">
        <f t="shared" si="0"/>
        <v>E016|20260914|P104</v>
      </c>
      <c r="I23" s="17">
        <f>SUMIFS(Time_Entries!$J$5:$J$332,Time_Entries!$M$5:$M$332,H23,Time_Entries!$N$5:$N$332,"")</f>
        <v>8</v>
      </c>
      <c r="J23" s="18">
        <f t="shared" si="1"/>
        <v>0</v>
      </c>
      <c r="K23" s="13">
        <f>IFERROR(INDEX(Lists!$L$5:$L$20,MATCH(INDEX(Lists!$C$5:$C$34,MATCH(B23,Lists!$A$5:$A$34,0))&amp;"|"&amp;D23,Lists!$I$5:$I$20,0)),"")</f>
        <v>130</v>
      </c>
      <c r="L23" s="19">
        <f t="shared" si="2"/>
        <v>0</v>
      </c>
      <c r="M23" s="15">
        <f t="shared" si="3"/>
        <v>1040</v>
      </c>
      <c r="N23" s="20">
        <f t="shared" si="4"/>
        <v>0</v>
      </c>
      <c r="O23" s="10" t="str">
        <f t="shared" si="5"/>
        <v>OK</v>
      </c>
    </row>
    <row r="24" spans="1:15" x14ac:dyDescent="0.25">
      <c r="A24" s="7" t="s">
        <v>432</v>
      </c>
      <c r="B24" s="7" t="s">
        <v>250</v>
      </c>
      <c r="C24" s="9">
        <v>46279</v>
      </c>
      <c r="D24" s="7" t="s">
        <v>46</v>
      </c>
      <c r="E24" s="11">
        <v>8</v>
      </c>
      <c r="F24" s="12">
        <v>124</v>
      </c>
      <c r="G24" s="16">
        <v>992</v>
      </c>
      <c r="H24" s="10" t="str">
        <f t="shared" si="0"/>
        <v>E018|20260914|P102</v>
      </c>
      <c r="I24" s="17">
        <f>SUMIFS(Time_Entries!$J$5:$J$332,Time_Entries!$M$5:$M$332,H24,Time_Entries!$N$5:$N$332,"")</f>
        <v>8</v>
      </c>
      <c r="J24" s="18">
        <f t="shared" si="1"/>
        <v>0</v>
      </c>
      <c r="K24" s="13">
        <f>IFERROR(INDEX(Lists!$L$5:$L$20,MATCH(INDEX(Lists!$C$5:$C$34,MATCH(B24,Lists!$A$5:$A$34,0))&amp;"|"&amp;D24,Lists!$I$5:$I$20,0)),"")</f>
        <v>124</v>
      </c>
      <c r="L24" s="19">
        <f t="shared" si="2"/>
        <v>0</v>
      </c>
      <c r="M24" s="15">
        <f t="shared" si="3"/>
        <v>992</v>
      </c>
      <c r="N24" s="20">
        <f t="shared" si="4"/>
        <v>0</v>
      </c>
      <c r="O24" s="10" t="str">
        <f t="shared" si="5"/>
        <v>OK</v>
      </c>
    </row>
    <row r="25" spans="1:15" x14ac:dyDescent="0.25">
      <c r="A25" s="7" t="s">
        <v>433</v>
      </c>
      <c r="B25" s="7" t="s">
        <v>262</v>
      </c>
      <c r="C25" s="9">
        <v>46279</v>
      </c>
      <c r="D25" s="7" t="s">
        <v>50</v>
      </c>
      <c r="E25" s="11">
        <v>8</v>
      </c>
      <c r="F25" s="12">
        <v>112</v>
      </c>
      <c r="G25" s="16">
        <v>896</v>
      </c>
      <c r="H25" s="10" t="str">
        <f t="shared" si="0"/>
        <v>E019|20260914|P103</v>
      </c>
      <c r="I25" s="17">
        <f>SUMIFS(Time_Entries!$J$5:$J$332,Time_Entries!$M$5:$M$332,H25,Time_Entries!$N$5:$N$332,"")</f>
        <v>8</v>
      </c>
      <c r="J25" s="18">
        <f t="shared" si="1"/>
        <v>0</v>
      </c>
      <c r="K25" s="13">
        <f>IFERROR(INDEX(Lists!$L$5:$L$20,MATCH(INDEX(Lists!$C$5:$C$34,MATCH(B25,Lists!$A$5:$A$34,0))&amp;"|"&amp;D25,Lists!$I$5:$I$20,0)),"")</f>
        <v>112</v>
      </c>
      <c r="L25" s="19">
        <f t="shared" si="2"/>
        <v>0</v>
      </c>
      <c r="M25" s="15">
        <f t="shared" si="3"/>
        <v>896</v>
      </c>
      <c r="N25" s="20">
        <f t="shared" si="4"/>
        <v>0</v>
      </c>
      <c r="O25" s="10" t="str">
        <f t="shared" si="5"/>
        <v>OK</v>
      </c>
    </row>
    <row r="26" spans="1:15" x14ac:dyDescent="0.25">
      <c r="A26" s="7" t="s">
        <v>434</v>
      </c>
      <c r="B26" s="7" t="s">
        <v>273</v>
      </c>
      <c r="C26" s="9">
        <v>46279</v>
      </c>
      <c r="D26" s="7" t="s">
        <v>74</v>
      </c>
      <c r="E26" s="11">
        <v>8</v>
      </c>
      <c r="F26" s="12">
        <v>130</v>
      </c>
      <c r="G26" s="16">
        <v>1040</v>
      </c>
      <c r="H26" s="10" t="str">
        <f t="shared" si="0"/>
        <v>E020|20260914|P104</v>
      </c>
      <c r="I26" s="17">
        <f>SUMIFS(Time_Entries!$J$5:$J$332,Time_Entries!$M$5:$M$332,H26,Time_Entries!$N$5:$N$332,"")</f>
        <v>8</v>
      </c>
      <c r="J26" s="18">
        <f t="shared" si="1"/>
        <v>0</v>
      </c>
      <c r="K26" s="13">
        <f>IFERROR(INDEX(Lists!$L$5:$L$20,MATCH(INDEX(Lists!$C$5:$C$34,MATCH(B26,Lists!$A$5:$A$34,0))&amp;"|"&amp;D26,Lists!$I$5:$I$20,0)),"")</f>
        <v>130</v>
      </c>
      <c r="L26" s="19">
        <f t="shared" si="2"/>
        <v>0</v>
      </c>
      <c r="M26" s="15">
        <f t="shared" si="3"/>
        <v>1040</v>
      </c>
      <c r="N26" s="20">
        <f t="shared" si="4"/>
        <v>0</v>
      </c>
      <c r="O26" s="10" t="str">
        <f t="shared" si="5"/>
        <v>OK</v>
      </c>
    </row>
    <row r="27" spans="1:15" x14ac:dyDescent="0.25">
      <c r="A27" s="7" t="s">
        <v>435</v>
      </c>
      <c r="B27" s="7" t="s">
        <v>284</v>
      </c>
      <c r="C27" s="9">
        <v>46279</v>
      </c>
      <c r="D27" s="7" t="s">
        <v>41</v>
      </c>
      <c r="E27" s="11">
        <v>8</v>
      </c>
      <c r="F27" s="12">
        <v>118</v>
      </c>
      <c r="G27" s="16">
        <v>944</v>
      </c>
      <c r="H27" s="10" t="str">
        <f t="shared" si="0"/>
        <v>E021|20260914|P101</v>
      </c>
      <c r="I27" s="17">
        <f>SUMIFS(Time_Entries!$J$5:$J$332,Time_Entries!$M$5:$M$332,H27,Time_Entries!$N$5:$N$332,"")</f>
        <v>8</v>
      </c>
      <c r="J27" s="18">
        <f t="shared" si="1"/>
        <v>0</v>
      </c>
      <c r="K27" s="13">
        <f>IFERROR(INDEX(Lists!$L$5:$L$20,MATCH(INDEX(Lists!$C$5:$C$34,MATCH(B27,Lists!$A$5:$A$34,0))&amp;"|"&amp;D27,Lists!$I$5:$I$20,0)),"")</f>
        <v>118</v>
      </c>
      <c r="L27" s="19">
        <f t="shared" si="2"/>
        <v>0</v>
      </c>
      <c r="M27" s="15">
        <f t="shared" si="3"/>
        <v>944</v>
      </c>
      <c r="N27" s="20">
        <f t="shared" si="4"/>
        <v>0</v>
      </c>
      <c r="O27" s="10" t="str">
        <f t="shared" si="5"/>
        <v>OK</v>
      </c>
    </row>
    <row r="28" spans="1:15" x14ac:dyDescent="0.25">
      <c r="A28" s="7" t="s">
        <v>436</v>
      </c>
      <c r="B28" s="7" t="s">
        <v>295</v>
      </c>
      <c r="C28" s="9">
        <v>46279</v>
      </c>
      <c r="D28" s="7" t="s">
        <v>46</v>
      </c>
      <c r="E28" s="11">
        <v>8</v>
      </c>
      <c r="F28" s="12">
        <v>124</v>
      </c>
      <c r="G28" s="16">
        <v>992</v>
      </c>
      <c r="H28" s="10" t="str">
        <f t="shared" si="0"/>
        <v>E022|20260914|P102</v>
      </c>
      <c r="I28" s="17">
        <f>SUMIFS(Time_Entries!$J$5:$J$332,Time_Entries!$M$5:$M$332,H28,Time_Entries!$N$5:$N$332,"")</f>
        <v>8</v>
      </c>
      <c r="J28" s="18">
        <f t="shared" si="1"/>
        <v>0</v>
      </c>
      <c r="K28" s="13">
        <f>IFERROR(INDEX(Lists!$L$5:$L$20,MATCH(INDEX(Lists!$C$5:$C$34,MATCH(B28,Lists!$A$5:$A$34,0))&amp;"|"&amp;D28,Lists!$I$5:$I$20,0)),"")</f>
        <v>124</v>
      </c>
      <c r="L28" s="19">
        <f t="shared" si="2"/>
        <v>0</v>
      </c>
      <c r="M28" s="15">
        <f t="shared" si="3"/>
        <v>992</v>
      </c>
      <c r="N28" s="20">
        <f t="shared" si="4"/>
        <v>0</v>
      </c>
      <c r="O28" s="10" t="str">
        <f t="shared" si="5"/>
        <v>OK</v>
      </c>
    </row>
    <row r="29" spans="1:15" x14ac:dyDescent="0.25">
      <c r="A29" s="7" t="s">
        <v>437</v>
      </c>
      <c r="B29" s="7" t="s">
        <v>307</v>
      </c>
      <c r="C29" s="9">
        <v>46279</v>
      </c>
      <c r="D29" s="7" t="s">
        <v>50</v>
      </c>
      <c r="E29" s="11">
        <v>8</v>
      </c>
      <c r="F29" s="12">
        <v>112</v>
      </c>
      <c r="G29" s="16">
        <v>896</v>
      </c>
      <c r="H29" s="10" t="str">
        <f t="shared" si="0"/>
        <v>E023|20260914|P103</v>
      </c>
      <c r="I29" s="17">
        <f>SUMIFS(Time_Entries!$J$5:$J$332,Time_Entries!$M$5:$M$332,H29,Time_Entries!$N$5:$N$332,"")</f>
        <v>8</v>
      </c>
      <c r="J29" s="18">
        <f t="shared" si="1"/>
        <v>0</v>
      </c>
      <c r="K29" s="13">
        <f>IFERROR(INDEX(Lists!$L$5:$L$20,MATCH(INDEX(Lists!$C$5:$C$34,MATCH(B29,Lists!$A$5:$A$34,0))&amp;"|"&amp;D29,Lists!$I$5:$I$20,0)),"")</f>
        <v>112</v>
      </c>
      <c r="L29" s="19">
        <f t="shared" si="2"/>
        <v>0</v>
      </c>
      <c r="M29" s="15">
        <f t="shared" si="3"/>
        <v>896</v>
      </c>
      <c r="N29" s="20">
        <f t="shared" si="4"/>
        <v>0</v>
      </c>
      <c r="O29" s="10" t="str">
        <f t="shared" si="5"/>
        <v>OK</v>
      </c>
    </row>
    <row r="30" spans="1:15" x14ac:dyDescent="0.25">
      <c r="A30" s="7" t="s">
        <v>438</v>
      </c>
      <c r="B30" s="7" t="s">
        <v>317</v>
      </c>
      <c r="C30" s="9">
        <v>46279</v>
      </c>
      <c r="D30" s="7" t="s">
        <v>74</v>
      </c>
      <c r="E30" s="11">
        <v>8</v>
      </c>
      <c r="F30" s="12">
        <v>130</v>
      </c>
      <c r="G30" s="16">
        <v>1040</v>
      </c>
      <c r="H30" s="10" t="str">
        <f t="shared" si="0"/>
        <v>E024|20260914|P104</v>
      </c>
      <c r="I30" s="17">
        <f>SUMIFS(Time_Entries!$J$5:$J$332,Time_Entries!$M$5:$M$332,H30,Time_Entries!$N$5:$N$332,"")</f>
        <v>8</v>
      </c>
      <c r="J30" s="18">
        <f t="shared" si="1"/>
        <v>0</v>
      </c>
      <c r="K30" s="13">
        <f>IFERROR(INDEX(Lists!$L$5:$L$20,MATCH(INDEX(Lists!$C$5:$C$34,MATCH(B30,Lists!$A$5:$A$34,0))&amp;"|"&amp;D30,Lists!$I$5:$I$20,0)),"")</f>
        <v>130</v>
      </c>
      <c r="L30" s="19">
        <f t="shared" si="2"/>
        <v>0</v>
      </c>
      <c r="M30" s="15">
        <f t="shared" si="3"/>
        <v>1040</v>
      </c>
      <c r="N30" s="20">
        <f t="shared" si="4"/>
        <v>0</v>
      </c>
      <c r="O30" s="10" t="str">
        <f t="shared" si="5"/>
        <v>OK</v>
      </c>
    </row>
    <row r="31" spans="1:15" x14ac:dyDescent="0.25">
      <c r="A31" s="7" t="s">
        <v>439</v>
      </c>
      <c r="B31" s="7" t="s">
        <v>329</v>
      </c>
      <c r="C31" s="9">
        <v>46279</v>
      </c>
      <c r="D31" s="7" t="s">
        <v>41</v>
      </c>
      <c r="E31" s="11">
        <v>8</v>
      </c>
      <c r="F31" s="12">
        <v>98</v>
      </c>
      <c r="G31" s="16">
        <v>784</v>
      </c>
      <c r="H31" s="10" t="str">
        <f t="shared" si="0"/>
        <v>E025|20260914|P101</v>
      </c>
      <c r="I31" s="17">
        <f>SUMIFS(Time_Entries!$J$5:$J$332,Time_Entries!$M$5:$M$332,H31,Time_Entries!$N$5:$N$332,"")</f>
        <v>8</v>
      </c>
      <c r="J31" s="18">
        <f t="shared" si="1"/>
        <v>0</v>
      </c>
      <c r="K31" s="13">
        <f>IFERROR(INDEX(Lists!$L$5:$L$20,MATCH(INDEX(Lists!$C$5:$C$34,MATCH(B31,Lists!$A$5:$A$34,0))&amp;"|"&amp;D31,Lists!$I$5:$I$20,0)),"")</f>
        <v>98</v>
      </c>
      <c r="L31" s="19">
        <f t="shared" si="2"/>
        <v>0</v>
      </c>
      <c r="M31" s="15">
        <f t="shared" si="3"/>
        <v>784</v>
      </c>
      <c r="N31" s="20">
        <f t="shared" si="4"/>
        <v>0</v>
      </c>
      <c r="O31" s="10" t="str">
        <f t="shared" si="5"/>
        <v>OK</v>
      </c>
    </row>
    <row r="32" spans="1:15" x14ac:dyDescent="0.25">
      <c r="A32" s="7" t="s">
        <v>440</v>
      </c>
      <c r="B32" s="7" t="s">
        <v>342</v>
      </c>
      <c r="C32" s="9">
        <v>46279</v>
      </c>
      <c r="D32" s="7" t="s">
        <v>46</v>
      </c>
      <c r="E32" s="11">
        <v>8</v>
      </c>
      <c r="F32" s="12">
        <v>103</v>
      </c>
      <c r="G32" s="16">
        <v>824</v>
      </c>
      <c r="H32" s="10" t="str">
        <f t="shared" si="0"/>
        <v>E026|20260914|P102</v>
      </c>
      <c r="I32" s="17">
        <f>SUMIFS(Time_Entries!$J$5:$J$332,Time_Entries!$M$5:$M$332,H32,Time_Entries!$N$5:$N$332,"")</f>
        <v>8</v>
      </c>
      <c r="J32" s="18">
        <f t="shared" si="1"/>
        <v>0</v>
      </c>
      <c r="K32" s="13">
        <f>IFERROR(INDEX(Lists!$L$5:$L$20,MATCH(INDEX(Lists!$C$5:$C$34,MATCH(B32,Lists!$A$5:$A$34,0))&amp;"|"&amp;D32,Lists!$I$5:$I$20,0)),"")</f>
        <v>103</v>
      </c>
      <c r="L32" s="19">
        <f t="shared" si="2"/>
        <v>0</v>
      </c>
      <c r="M32" s="15">
        <f t="shared" si="3"/>
        <v>824</v>
      </c>
      <c r="N32" s="20">
        <f t="shared" si="4"/>
        <v>0</v>
      </c>
      <c r="O32" s="10" t="str">
        <f t="shared" si="5"/>
        <v>OK</v>
      </c>
    </row>
    <row r="33" spans="1:15" x14ac:dyDescent="0.25">
      <c r="A33" s="7" t="s">
        <v>441</v>
      </c>
      <c r="B33" s="7" t="s">
        <v>352</v>
      </c>
      <c r="C33" s="9">
        <v>46279</v>
      </c>
      <c r="D33" s="7" t="s">
        <v>50</v>
      </c>
      <c r="E33" s="11">
        <v>8</v>
      </c>
      <c r="F33" s="12">
        <v>93</v>
      </c>
      <c r="G33" s="16">
        <v>744</v>
      </c>
      <c r="H33" s="10" t="str">
        <f t="shared" si="0"/>
        <v>E027|20260914|P103</v>
      </c>
      <c r="I33" s="17">
        <f>SUMIFS(Time_Entries!$J$5:$J$332,Time_Entries!$M$5:$M$332,H33,Time_Entries!$N$5:$N$332,"")</f>
        <v>8</v>
      </c>
      <c r="J33" s="18">
        <f t="shared" si="1"/>
        <v>0</v>
      </c>
      <c r="K33" s="13">
        <f>IFERROR(INDEX(Lists!$L$5:$L$20,MATCH(INDEX(Lists!$C$5:$C$34,MATCH(B33,Lists!$A$5:$A$34,0))&amp;"|"&amp;D33,Lists!$I$5:$I$20,0)),"")</f>
        <v>93</v>
      </c>
      <c r="L33" s="19">
        <f t="shared" si="2"/>
        <v>0</v>
      </c>
      <c r="M33" s="15">
        <f t="shared" si="3"/>
        <v>744</v>
      </c>
      <c r="N33" s="20">
        <f t="shared" si="4"/>
        <v>0</v>
      </c>
      <c r="O33" s="10" t="str">
        <f t="shared" si="5"/>
        <v>OK</v>
      </c>
    </row>
    <row r="34" spans="1:15" x14ac:dyDescent="0.25">
      <c r="A34" s="7" t="s">
        <v>442</v>
      </c>
      <c r="B34" s="7" t="s">
        <v>363</v>
      </c>
      <c r="C34" s="9">
        <v>46279</v>
      </c>
      <c r="D34" s="7" t="s">
        <v>74</v>
      </c>
      <c r="E34" s="11">
        <v>8</v>
      </c>
      <c r="F34" s="12">
        <v>108</v>
      </c>
      <c r="G34" s="16">
        <v>864</v>
      </c>
      <c r="H34" s="10" t="str">
        <f t="shared" si="0"/>
        <v>E028|20260914|P104</v>
      </c>
      <c r="I34" s="17">
        <f>SUMIFS(Time_Entries!$J$5:$J$332,Time_Entries!$M$5:$M$332,H34,Time_Entries!$N$5:$N$332,"")</f>
        <v>8</v>
      </c>
      <c r="J34" s="18">
        <f t="shared" si="1"/>
        <v>0</v>
      </c>
      <c r="K34" s="13">
        <f>IFERROR(INDEX(Lists!$L$5:$L$20,MATCH(INDEX(Lists!$C$5:$C$34,MATCH(B34,Lists!$A$5:$A$34,0))&amp;"|"&amp;D34,Lists!$I$5:$I$20,0)),"")</f>
        <v>108</v>
      </c>
      <c r="L34" s="19">
        <f t="shared" si="2"/>
        <v>0</v>
      </c>
      <c r="M34" s="15">
        <f t="shared" si="3"/>
        <v>864</v>
      </c>
      <c r="N34" s="20">
        <f t="shared" si="4"/>
        <v>0</v>
      </c>
      <c r="O34" s="10" t="str">
        <f t="shared" si="5"/>
        <v>OK</v>
      </c>
    </row>
    <row r="35" spans="1:15" x14ac:dyDescent="0.25">
      <c r="A35" s="7" t="s">
        <v>443</v>
      </c>
      <c r="B35" s="7" t="s">
        <v>375</v>
      </c>
      <c r="C35" s="9">
        <v>46279</v>
      </c>
      <c r="D35" s="7" t="s">
        <v>41</v>
      </c>
      <c r="E35" s="11">
        <v>8</v>
      </c>
      <c r="F35" s="12">
        <v>98</v>
      </c>
      <c r="G35" s="16">
        <v>784</v>
      </c>
      <c r="H35" s="10" t="str">
        <f t="shared" si="0"/>
        <v>E029|20260914|P101</v>
      </c>
      <c r="I35" s="17">
        <f>SUMIFS(Time_Entries!$J$5:$J$332,Time_Entries!$M$5:$M$332,H35,Time_Entries!$N$5:$N$332,"")</f>
        <v>8</v>
      </c>
      <c r="J35" s="18">
        <f t="shared" si="1"/>
        <v>0</v>
      </c>
      <c r="K35" s="13">
        <f>IFERROR(INDEX(Lists!$L$5:$L$20,MATCH(INDEX(Lists!$C$5:$C$34,MATCH(B35,Lists!$A$5:$A$34,0))&amp;"|"&amp;D35,Lists!$I$5:$I$20,0)),"")</f>
        <v>98</v>
      </c>
      <c r="L35" s="19">
        <f t="shared" si="2"/>
        <v>0</v>
      </c>
      <c r="M35" s="15">
        <f t="shared" si="3"/>
        <v>784</v>
      </c>
      <c r="N35" s="20">
        <f t="shared" si="4"/>
        <v>0</v>
      </c>
      <c r="O35" s="10" t="str">
        <f t="shared" si="5"/>
        <v>OK</v>
      </c>
    </row>
    <row r="36" spans="1:15" x14ac:dyDescent="0.25">
      <c r="A36" s="7" t="s">
        <v>444</v>
      </c>
      <c r="B36" s="7" t="s">
        <v>385</v>
      </c>
      <c r="C36" s="9">
        <v>46279</v>
      </c>
      <c r="D36" s="7" t="s">
        <v>46</v>
      </c>
      <c r="E36" s="11">
        <v>4</v>
      </c>
      <c r="F36" s="12">
        <v>103</v>
      </c>
      <c r="G36" s="16">
        <v>412</v>
      </c>
      <c r="H36" s="10" t="str">
        <f t="shared" si="0"/>
        <v>E030|20260914|P102</v>
      </c>
      <c r="I36" s="17">
        <f>SUMIFS(Time_Entries!$J$5:$J$332,Time_Entries!$M$5:$M$332,H36,Time_Entries!$N$5:$N$332,"")</f>
        <v>4</v>
      </c>
      <c r="J36" s="18">
        <f t="shared" si="1"/>
        <v>0</v>
      </c>
      <c r="K36" s="13">
        <f>IFERROR(INDEX(Lists!$L$5:$L$20,MATCH(INDEX(Lists!$C$5:$C$34,MATCH(B36,Lists!$A$5:$A$34,0))&amp;"|"&amp;D36,Lists!$I$5:$I$20,0)),"")</f>
        <v>103</v>
      </c>
      <c r="L36" s="19">
        <f t="shared" si="2"/>
        <v>0</v>
      </c>
      <c r="M36" s="15">
        <f t="shared" si="3"/>
        <v>412</v>
      </c>
      <c r="N36" s="20">
        <f t="shared" si="4"/>
        <v>0</v>
      </c>
      <c r="O36" s="10" t="str">
        <f t="shared" si="5"/>
        <v>OK</v>
      </c>
    </row>
    <row r="37" spans="1:15" x14ac:dyDescent="0.25">
      <c r="A37" s="7" t="s">
        <v>445</v>
      </c>
      <c r="B37" s="7" t="s">
        <v>40</v>
      </c>
      <c r="C37" s="9">
        <v>46280</v>
      </c>
      <c r="D37" s="7" t="s">
        <v>41</v>
      </c>
      <c r="E37" s="11">
        <v>8</v>
      </c>
      <c r="F37" s="12">
        <v>78</v>
      </c>
      <c r="G37" s="16">
        <v>624</v>
      </c>
      <c r="H37" s="10" t="str">
        <f t="shared" si="0"/>
        <v>E001|20260915|P101</v>
      </c>
      <c r="I37" s="17">
        <f>SUMIFS(Time_Entries!$J$5:$J$332,Time_Entries!$M$5:$M$332,H37,Time_Entries!$N$5:$N$332,"")</f>
        <v>8</v>
      </c>
      <c r="J37" s="18">
        <f t="shared" si="1"/>
        <v>0</v>
      </c>
      <c r="K37" s="13">
        <f>IFERROR(INDEX(Lists!$L$5:$L$20,MATCH(INDEX(Lists!$C$5:$C$34,MATCH(B37,Lists!$A$5:$A$34,0))&amp;"|"&amp;D37,Lists!$I$5:$I$20,0)),"")</f>
        <v>78</v>
      </c>
      <c r="L37" s="19">
        <f t="shared" si="2"/>
        <v>0</v>
      </c>
      <c r="M37" s="15">
        <f t="shared" si="3"/>
        <v>624</v>
      </c>
      <c r="N37" s="20">
        <f t="shared" si="4"/>
        <v>0</v>
      </c>
      <c r="O37" s="10" t="str">
        <f t="shared" si="5"/>
        <v>OK</v>
      </c>
    </row>
    <row r="38" spans="1:15" x14ac:dyDescent="0.25">
      <c r="A38" s="7" t="s">
        <v>446</v>
      </c>
      <c r="B38" s="7" t="s">
        <v>58</v>
      </c>
      <c r="C38" s="9">
        <v>46280</v>
      </c>
      <c r="D38" s="7" t="s">
        <v>46</v>
      </c>
      <c r="E38" s="11">
        <v>8</v>
      </c>
      <c r="F38" s="12">
        <v>82</v>
      </c>
      <c r="G38" s="16">
        <v>656</v>
      </c>
      <c r="H38" s="10" t="str">
        <f t="shared" si="0"/>
        <v>E002|20260915|P102</v>
      </c>
      <c r="I38" s="17">
        <f>SUMIFS(Time_Entries!$J$5:$J$332,Time_Entries!$M$5:$M$332,H38,Time_Entries!$N$5:$N$332,"")</f>
        <v>0</v>
      </c>
      <c r="J38" s="18">
        <f t="shared" si="1"/>
        <v>8</v>
      </c>
      <c r="K38" s="13">
        <f>IFERROR(INDEX(Lists!$L$5:$L$20,MATCH(INDEX(Lists!$C$5:$C$34,MATCH(B38,Lists!$A$5:$A$34,0))&amp;"|"&amp;D38,Lists!$I$5:$I$20,0)),"")</f>
        <v>82</v>
      </c>
      <c r="L38" s="19">
        <f t="shared" si="2"/>
        <v>0</v>
      </c>
      <c r="M38" s="15">
        <f t="shared" si="3"/>
        <v>0</v>
      </c>
      <c r="N38" s="20">
        <f t="shared" si="4"/>
        <v>656</v>
      </c>
      <c r="O38" s="10" t="str">
        <f t="shared" si="5"/>
        <v>NO TIME ENTRY</v>
      </c>
    </row>
    <row r="39" spans="1:15" x14ac:dyDescent="0.25">
      <c r="A39" s="7" t="s">
        <v>447</v>
      </c>
      <c r="B39" s="7" t="s">
        <v>72</v>
      </c>
      <c r="C39" s="9">
        <v>46280</v>
      </c>
      <c r="D39" s="7" t="s">
        <v>50</v>
      </c>
      <c r="E39" s="11">
        <v>8</v>
      </c>
      <c r="F39" s="12">
        <v>74</v>
      </c>
      <c r="G39" s="16">
        <v>592</v>
      </c>
      <c r="H39" s="10" t="str">
        <f t="shared" si="0"/>
        <v>E003|20260915|P103</v>
      </c>
      <c r="I39" s="17">
        <f>SUMIFS(Time_Entries!$J$5:$J$332,Time_Entries!$M$5:$M$332,H39,Time_Entries!$N$5:$N$332,"")</f>
        <v>8</v>
      </c>
      <c r="J39" s="18">
        <f t="shared" si="1"/>
        <v>0</v>
      </c>
      <c r="K39" s="13">
        <f>IFERROR(INDEX(Lists!$L$5:$L$20,MATCH(INDEX(Lists!$C$5:$C$34,MATCH(B39,Lists!$A$5:$A$34,0))&amp;"|"&amp;D39,Lists!$I$5:$I$20,0)),"")</f>
        <v>74</v>
      </c>
      <c r="L39" s="19">
        <f t="shared" si="2"/>
        <v>0</v>
      </c>
      <c r="M39" s="15">
        <f t="shared" si="3"/>
        <v>592</v>
      </c>
      <c r="N39" s="20">
        <f t="shared" si="4"/>
        <v>0</v>
      </c>
      <c r="O39" s="10" t="str">
        <f t="shared" si="5"/>
        <v>OK</v>
      </c>
    </row>
    <row r="40" spans="1:15" x14ac:dyDescent="0.25">
      <c r="A40" s="7" t="s">
        <v>448</v>
      </c>
      <c r="B40" s="7" t="s">
        <v>87</v>
      </c>
      <c r="C40" s="9">
        <v>46280</v>
      </c>
      <c r="D40" s="7" t="s">
        <v>74</v>
      </c>
      <c r="E40" s="11">
        <v>8</v>
      </c>
      <c r="F40" s="12">
        <v>86</v>
      </c>
      <c r="G40" s="16">
        <v>688</v>
      </c>
      <c r="H40" s="10" t="str">
        <f t="shared" si="0"/>
        <v>E004|20260915|P104</v>
      </c>
      <c r="I40" s="17">
        <f>SUMIFS(Time_Entries!$J$5:$J$332,Time_Entries!$M$5:$M$332,H40,Time_Entries!$N$5:$N$332,"")</f>
        <v>8</v>
      </c>
      <c r="J40" s="18">
        <f t="shared" si="1"/>
        <v>0</v>
      </c>
      <c r="K40" s="13">
        <f>IFERROR(INDEX(Lists!$L$5:$L$20,MATCH(INDEX(Lists!$C$5:$C$34,MATCH(B40,Lists!$A$5:$A$34,0))&amp;"|"&amp;D40,Lists!$I$5:$I$20,0)),"")</f>
        <v>86</v>
      </c>
      <c r="L40" s="19">
        <f t="shared" si="2"/>
        <v>0</v>
      </c>
      <c r="M40" s="15">
        <f t="shared" si="3"/>
        <v>688</v>
      </c>
      <c r="N40" s="20">
        <f t="shared" si="4"/>
        <v>0</v>
      </c>
      <c r="O40" s="10" t="str">
        <f t="shared" si="5"/>
        <v>OK</v>
      </c>
    </row>
    <row r="41" spans="1:15" x14ac:dyDescent="0.25">
      <c r="A41" s="7" t="s">
        <v>449</v>
      </c>
      <c r="B41" s="7" t="s">
        <v>99</v>
      </c>
      <c r="C41" s="9">
        <v>46280</v>
      </c>
      <c r="D41" s="7" t="s">
        <v>41</v>
      </c>
      <c r="E41" s="11">
        <v>8</v>
      </c>
      <c r="F41" s="12">
        <v>78</v>
      </c>
      <c r="G41" s="16">
        <v>624</v>
      </c>
      <c r="H41" s="10" t="str">
        <f t="shared" si="0"/>
        <v>E005|20260915|P101</v>
      </c>
      <c r="I41" s="17">
        <f>SUMIFS(Time_Entries!$J$5:$J$332,Time_Entries!$M$5:$M$332,H41,Time_Entries!$N$5:$N$332,"")</f>
        <v>8</v>
      </c>
      <c r="J41" s="18">
        <f t="shared" si="1"/>
        <v>0</v>
      </c>
      <c r="K41" s="13">
        <f>IFERROR(INDEX(Lists!$L$5:$L$20,MATCH(INDEX(Lists!$C$5:$C$34,MATCH(B41,Lists!$A$5:$A$34,0))&amp;"|"&amp;D41,Lists!$I$5:$I$20,0)),"")</f>
        <v>78</v>
      </c>
      <c r="L41" s="19">
        <f t="shared" si="2"/>
        <v>0</v>
      </c>
      <c r="M41" s="15">
        <f t="shared" si="3"/>
        <v>624</v>
      </c>
      <c r="N41" s="20">
        <f t="shared" si="4"/>
        <v>0</v>
      </c>
      <c r="O41" s="10" t="str">
        <f t="shared" si="5"/>
        <v>OK</v>
      </c>
    </row>
    <row r="42" spans="1:15" x14ac:dyDescent="0.25">
      <c r="A42" s="7" t="s">
        <v>450</v>
      </c>
      <c r="B42" s="7" t="s">
        <v>110</v>
      </c>
      <c r="C42" s="9">
        <v>46280</v>
      </c>
      <c r="D42" s="7" t="s">
        <v>46</v>
      </c>
      <c r="E42" s="11">
        <v>8</v>
      </c>
      <c r="F42" s="12">
        <v>82</v>
      </c>
      <c r="G42" s="16">
        <v>656</v>
      </c>
      <c r="H42" s="10" t="str">
        <f t="shared" si="0"/>
        <v>E006|20260915|P102</v>
      </c>
      <c r="I42" s="17">
        <f>SUMIFS(Time_Entries!$J$5:$J$332,Time_Entries!$M$5:$M$332,H42,Time_Entries!$N$5:$N$332,"")</f>
        <v>8</v>
      </c>
      <c r="J42" s="18">
        <f t="shared" si="1"/>
        <v>0</v>
      </c>
      <c r="K42" s="13">
        <f>IFERROR(INDEX(Lists!$L$5:$L$20,MATCH(INDEX(Lists!$C$5:$C$34,MATCH(B42,Lists!$A$5:$A$34,0))&amp;"|"&amp;D42,Lists!$I$5:$I$20,0)),"")</f>
        <v>82</v>
      </c>
      <c r="L42" s="19">
        <f t="shared" si="2"/>
        <v>0</v>
      </c>
      <c r="M42" s="15">
        <f t="shared" si="3"/>
        <v>656</v>
      </c>
      <c r="N42" s="20">
        <f t="shared" si="4"/>
        <v>0</v>
      </c>
      <c r="O42" s="10" t="str">
        <f t="shared" si="5"/>
        <v>OK</v>
      </c>
    </row>
    <row r="43" spans="1:15" x14ac:dyDescent="0.25">
      <c r="A43" s="7" t="s">
        <v>451</v>
      </c>
      <c r="B43" s="7" t="s">
        <v>124</v>
      </c>
      <c r="C43" s="9">
        <v>46280</v>
      </c>
      <c r="D43" s="7" t="s">
        <v>50</v>
      </c>
      <c r="E43" s="11">
        <v>8</v>
      </c>
      <c r="F43" s="12">
        <v>74</v>
      </c>
      <c r="G43" s="16">
        <v>592</v>
      </c>
      <c r="H43" s="10" t="str">
        <f t="shared" si="0"/>
        <v>E007|20260915|P103</v>
      </c>
      <c r="I43" s="17">
        <f>SUMIFS(Time_Entries!$J$5:$J$332,Time_Entries!$M$5:$M$332,H43,Time_Entries!$N$5:$N$332,"")</f>
        <v>8</v>
      </c>
      <c r="J43" s="18">
        <f t="shared" si="1"/>
        <v>0</v>
      </c>
      <c r="K43" s="13">
        <f>IFERROR(INDEX(Lists!$L$5:$L$20,MATCH(INDEX(Lists!$C$5:$C$34,MATCH(B43,Lists!$A$5:$A$34,0))&amp;"|"&amp;D43,Lists!$I$5:$I$20,0)),"")</f>
        <v>74</v>
      </c>
      <c r="L43" s="19">
        <f t="shared" si="2"/>
        <v>0</v>
      </c>
      <c r="M43" s="15">
        <f t="shared" si="3"/>
        <v>592</v>
      </c>
      <c r="N43" s="20">
        <f t="shared" si="4"/>
        <v>0</v>
      </c>
      <c r="O43" s="10" t="str">
        <f t="shared" si="5"/>
        <v>OK</v>
      </c>
    </row>
    <row r="44" spans="1:15" x14ac:dyDescent="0.25">
      <c r="A44" s="7" t="s">
        <v>452</v>
      </c>
      <c r="B44" s="7" t="s">
        <v>136</v>
      </c>
      <c r="C44" s="9">
        <v>46280</v>
      </c>
      <c r="D44" s="7" t="s">
        <v>74</v>
      </c>
      <c r="E44" s="11">
        <v>8</v>
      </c>
      <c r="F44" s="12">
        <v>86</v>
      </c>
      <c r="G44" s="16">
        <v>688</v>
      </c>
      <c r="H44" s="10" t="str">
        <f t="shared" si="0"/>
        <v>E008|20260915|P104</v>
      </c>
      <c r="I44" s="17">
        <f>SUMIFS(Time_Entries!$J$5:$J$332,Time_Entries!$M$5:$M$332,H44,Time_Entries!$N$5:$N$332,"")</f>
        <v>8</v>
      </c>
      <c r="J44" s="18">
        <f t="shared" si="1"/>
        <v>0</v>
      </c>
      <c r="K44" s="13">
        <f>IFERROR(INDEX(Lists!$L$5:$L$20,MATCH(INDEX(Lists!$C$5:$C$34,MATCH(B44,Lists!$A$5:$A$34,0))&amp;"|"&amp;D44,Lists!$I$5:$I$20,0)),"")</f>
        <v>86</v>
      </c>
      <c r="L44" s="19">
        <f t="shared" si="2"/>
        <v>0</v>
      </c>
      <c r="M44" s="15">
        <f t="shared" si="3"/>
        <v>688</v>
      </c>
      <c r="N44" s="20">
        <f t="shared" si="4"/>
        <v>0</v>
      </c>
      <c r="O44" s="10" t="str">
        <f t="shared" si="5"/>
        <v>OK</v>
      </c>
    </row>
    <row r="45" spans="1:15" x14ac:dyDescent="0.25">
      <c r="A45" s="7" t="s">
        <v>453</v>
      </c>
      <c r="B45" s="7" t="s">
        <v>147</v>
      </c>
      <c r="C45" s="9">
        <v>46280</v>
      </c>
      <c r="D45" s="7" t="s">
        <v>41</v>
      </c>
      <c r="E45" s="11">
        <v>6</v>
      </c>
      <c r="F45" s="12">
        <v>78</v>
      </c>
      <c r="G45" s="16">
        <v>468</v>
      </c>
      <c r="H45" s="10" t="str">
        <f t="shared" si="0"/>
        <v>E009|20260915|P101</v>
      </c>
      <c r="I45" s="17">
        <f>SUMIFS(Time_Entries!$J$5:$J$332,Time_Entries!$M$5:$M$332,H45,Time_Entries!$N$5:$N$332,"")</f>
        <v>8</v>
      </c>
      <c r="J45" s="18">
        <f t="shared" si="1"/>
        <v>-2</v>
      </c>
      <c r="K45" s="13">
        <f>IFERROR(INDEX(Lists!$L$5:$L$20,MATCH(INDEX(Lists!$C$5:$C$34,MATCH(B45,Lists!$A$5:$A$34,0))&amp;"|"&amp;D45,Lists!$I$5:$I$20,0)),"")</f>
        <v>78</v>
      </c>
      <c r="L45" s="19">
        <f t="shared" si="2"/>
        <v>0</v>
      </c>
      <c r="M45" s="15">
        <f t="shared" si="3"/>
        <v>624</v>
      </c>
      <c r="N45" s="20">
        <f t="shared" si="4"/>
        <v>-156</v>
      </c>
      <c r="O45" s="10" t="str">
        <f t="shared" si="5"/>
        <v>HOURS</v>
      </c>
    </row>
    <row r="46" spans="1:15" x14ac:dyDescent="0.25">
      <c r="A46" s="7" t="s">
        <v>454</v>
      </c>
      <c r="B46" s="7" t="s">
        <v>158</v>
      </c>
      <c r="C46" s="9">
        <v>46280</v>
      </c>
      <c r="D46" s="7" t="s">
        <v>46</v>
      </c>
      <c r="E46" s="11">
        <v>8</v>
      </c>
      <c r="F46" s="12">
        <v>110</v>
      </c>
      <c r="G46" s="16">
        <v>880</v>
      </c>
      <c r="H46" s="10" t="str">
        <f t="shared" si="0"/>
        <v>E010|20260915|P102</v>
      </c>
      <c r="I46" s="17">
        <f>SUMIFS(Time_Entries!$J$5:$J$332,Time_Entries!$M$5:$M$332,H46,Time_Entries!$N$5:$N$332,"")</f>
        <v>8</v>
      </c>
      <c r="J46" s="18">
        <f t="shared" si="1"/>
        <v>0</v>
      </c>
      <c r="K46" s="13">
        <f>IFERROR(INDEX(Lists!$L$5:$L$20,MATCH(INDEX(Lists!$C$5:$C$34,MATCH(B46,Lists!$A$5:$A$34,0))&amp;"|"&amp;D46,Lists!$I$5:$I$20,0)),"")</f>
        <v>110</v>
      </c>
      <c r="L46" s="19">
        <f t="shared" si="2"/>
        <v>0</v>
      </c>
      <c r="M46" s="15">
        <f t="shared" si="3"/>
        <v>880</v>
      </c>
      <c r="N46" s="20">
        <f t="shared" si="4"/>
        <v>0</v>
      </c>
      <c r="O46" s="10" t="str">
        <f t="shared" si="5"/>
        <v>OK</v>
      </c>
    </row>
    <row r="47" spans="1:15" x14ac:dyDescent="0.25">
      <c r="A47" s="7" t="s">
        <v>455</v>
      </c>
      <c r="B47" s="7" t="s">
        <v>170</v>
      </c>
      <c r="C47" s="9">
        <v>46280</v>
      </c>
      <c r="D47" s="7" t="s">
        <v>50</v>
      </c>
      <c r="E47" s="11">
        <v>8</v>
      </c>
      <c r="F47" s="12">
        <v>100</v>
      </c>
      <c r="G47" s="16">
        <v>800</v>
      </c>
      <c r="H47" s="10" t="str">
        <f t="shared" si="0"/>
        <v>E011|20260915|P103</v>
      </c>
      <c r="I47" s="17">
        <f>SUMIFS(Time_Entries!$J$5:$J$332,Time_Entries!$M$5:$M$332,H47,Time_Entries!$N$5:$N$332,"")</f>
        <v>8</v>
      </c>
      <c r="J47" s="18">
        <f t="shared" si="1"/>
        <v>0</v>
      </c>
      <c r="K47" s="13">
        <f>IFERROR(INDEX(Lists!$L$5:$L$20,MATCH(INDEX(Lists!$C$5:$C$34,MATCH(B47,Lists!$A$5:$A$34,0))&amp;"|"&amp;D47,Lists!$I$5:$I$20,0)),"")</f>
        <v>100</v>
      </c>
      <c r="L47" s="19">
        <f t="shared" si="2"/>
        <v>0</v>
      </c>
      <c r="M47" s="15">
        <f t="shared" si="3"/>
        <v>800</v>
      </c>
      <c r="N47" s="20">
        <f t="shared" si="4"/>
        <v>0</v>
      </c>
      <c r="O47" s="10" t="str">
        <f t="shared" si="5"/>
        <v>OK</v>
      </c>
    </row>
    <row r="48" spans="1:15" x14ac:dyDescent="0.25">
      <c r="A48" s="7" t="s">
        <v>456</v>
      </c>
      <c r="B48" s="7" t="s">
        <v>180</v>
      </c>
      <c r="C48" s="9">
        <v>46280</v>
      </c>
      <c r="D48" s="7" t="s">
        <v>74</v>
      </c>
      <c r="E48" s="11">
        <v>8</v>
      </c>
      <c r="F48" s="12">
        <v>116</v>
      </c>
      <c r="G48" s="16">
        <v>928</v>
      </c>
      <c r="H48" s="10" t="str">
        <f t="shared" si="0"/>
        <v>E012|20260915|P104</v>
      </c>
      <c r="I48" s="17">
        <f>SUMIFS(Time_Entries!$J$5:$J$332,Time_Entries!$M$5:$M$332,H48,Time_Entries!$N$5:$N$332,"")</f>
        <v>8</v>
      </c>
      <c r="J48" s="18">
        <f t="shared" si="1"/>
        <v>0</v>
      </c>
      <c r="K48" s="13">
        <f>IFERROR(INDEX(Lists!$L$5:$L$20,MATCH(INDEX(Lists!$C$5:$C$34,MATCH(B48,Lists!$A$5:$A$34,0))&amp;"|"&amp;D48,Lists!$I$5:$I$20,0)),"")</f>
        <v>116</v>
      </c>
      <c r="L48" s="19">
        <f t="shared" si="2"/>
        <v>0</v>
      </c>
      <c r="M48" s="15">
        <f t="shared" si="3"/>
        <v>928</v>
      </c>
      <c r="N48" s="20">
        <f t="shared" si="4"/>
        <v>0</v>
      </c>
      <c r="O48" s="10" t="str">
        <f t="shared" si="5"/>
        <v>OK</v>
      </c>
    </row>
    <row r="49" spans="1:15" x14ac:dyDescent="0.25">
      <c r="A49" s="7" t="s">
        <v>457</v>
      </c>
      <c r="B49" s="7" t="s">
        <v>194</v>
      </c>
      <c r="C49" s="9">
        <v>46280</v>
      </c>
      <c r="D49" s="7" t="s">
        <v>41</v>
      </c>
      <c r="E49" s="11">
        <v>4</v>
      </c>
      <c r="F49" s="12">
        <v>105</v>
      </c>
      <c r="G49" s="16">
        <v>420</v>
      </c>
      <c r="H49" s="10" t="str">
        <f t="shared" si="0"/>
        <v>E013|20260915|P101</v>
      </c>
      <c r="I49" s="17">
        <f>SUMIFS(Time_Entries!$J$5:$J$332,Time_Entries!$M$5:$M$332,H49,Time_Entries!$N$5:$N$332,"")</f>
        <v>4</v>
      </c>
      <c r="J49" s="18">
        <f t="shared" si="1"/>
        <v>0</v>
      </c>
      <c r="K49" s="13">
        <f>IFERROR(INDEX(Lists!$L$5:$L$20,MATCH(INDEX(Lists!$C$5:$C$34,MATCH(B49,Lists!$A$5:$A$34,0))&amp;"|"&amp;D49,Lists!$I$5:$I$20,0)),"")</f>
        <v>105</v>
      </c>
      <c r="L49" s="19">
        <f t="shared" si="2"/>
        <v>0</v>
      </c>
      <c r="M49" s="15">
        <f t="shared" si="3"/>
        <v>420</v>
      </c>
      <c r="N49" s="20">
        <f t="shared" si="4"/>
        <v>0</v>
      </c>
      <c r="O49" s="10" t="str">
        <f t="shared" si="5"/>
        <v>OK</v>
      </c>
    </row>
    <row r="50" spans="1:15" x14ac:dyDescent="0.25">
      <c r="A50" s="7" t="s">
        <v>458</v>
      </c>
      <c r="B50" s="7" t="s">
        <v>194</v>
      </c>
      <c r="C50" s="9">
        <v>46280</v>
      </c>
      <c r="D50" s="7" t="s">
        <v>50</v>
      </c>
      <c r="E50" s="11">
        <v>4</v>
      </c>
      <c r="F50" s="12">
        <v>100</v>
      </c>
      <c r="G50" s="16">
        <v>400</v>
      </c>
      <c r="H50" s="10" t="str">
        <f t="shared" si="0"/>
        <v>E013|20260915|P103</v>
      </c>
      <c r="I50" s="17">
        <f>SUMIFS(Time_Entries!$J$5:$J$332,Time_Entries!$M$5:$M$332,H50,Time_Entries!$N$5:$N$332,"")</f>
        <v>4</v>
      </c>
      <c r="J50" s="18">
        <f t="shared" si="1"/>
        <v>0</v>
      </c>
      <c r="K50" s="13">
        <f>IFERROR(INDEX(Lists!$L$5:$L$20,MATCH(INDEX(Lists!$C$5:$C$34,MATCH(B50,Lists!$A$5:$A$34,0))&amp;"|"&amp;D50,Lists!$I$5:$I$20,0)),"")</f>
        <v>100</v>
      </c>
      <c r="L50" s="19">
        <f t="shared" si="2"/>
        <v>0</v>
      </c>
      <c r="M50" s="15">
        <f t="shared" si="3"/>
        <v>400</v>
      </c>
      <c r="N50" s="20">
        <f t="shared" si="4"/>
        <v>0</v>
      </c>
      <c r="O50" s="10" t="str">
        <f t="shared" si="5"/>
        <v>OK</v>
      </c>
    </row>
    <row r="51" spans="1:15" x14ac:dyDescent="0.25">
      <c r="A51" s="7" t="s">
        <v>459</v>
      </c>
      <c r="B51" s="7" t="s">
        <v>206</v>
      </c>
      <c r="C51" s="9">
        <v>46280</v>
      </c>
      <c r="D51" s="7" t="s">
        <v>46</v>
      </c>
      <c r="E51" s="11">
        <v>8</v>
      </c>
      <c r="F51" s="12">
        <v>110</v>
      </c>
      <c r="G51" s="16">
        <v>880</v>
      </c>
      <c r="H51" s="10" t="str">
        <f t="shared" si="0"/>
        <v>E014|20260915|P102</v>
      </c>
      <c r="I51" s="17">
        <f>SUMIFS(Time_Entries!$J$5:$J$332,Time_Entries!$M$5:$M$332,H51,Time_Entries!$N$5:$N$332,"")</f>
        <v>8</v>
      </c>
      <c r="J51" s="18">
        <f t="shared" si="1"/>
        <v>0</v>
      </c>
      <c r="K51" s="13">
        <f>IFERROR(INDEX(Lists!$L$5:$L$20,MATCH(INDEX(Lists!$C$5:$C$34,MATCH(B51,Lists!$A$5:$A$34,0))&amp;"|"&amp;D51,Lists!$I$5:$I$20,0)),"")</f>
        <v>110</v>
      </c>
      <c r="L51" s="19">
        <f t="shared" si="2"/>
        <v>0</v>
      </c>
      <c r="M51" s="15">
        <f t="shared" si="3"/>
        <v>880</v>
      </c>
      <c r="N51" s="20">
        <f t="shared" si="4"/>
        <v>0</v>
      </c>
      <c r="O51" s="10" t="str">
        <f t="shared" si="5"/>
        <v>OK</v>
      </c>
    </row>
    <row r="52" spans="1:15" x14ac:dyDescent="0.25">
      <c r="A52" s="7" t="s">
        <v>460</v>
      </c>
      <c r="B52" s="7" t="s">
        <v>217</v>
      </c>
      <c r="C52" s="9">
        <v>46280</v>
      </c>
      <c r="D52" s="7" t="s">
        <v>50</v>
      </c>
      <c r="E52" s="11">
        <v>8</v>
      </c>
      <c r="F52" s="12">
        <v>100</v>
      </c>
      <c r="G52" s="16">
        <v>800</v>
      </c>
      <c r="H52" s="10" t="str">
        <f t="shared" si="0"/>
        <v>E015|20260915|P103</v>
      </c>
      <c r="I52" s="17">
        <f>SUMIFS(Time_Entries!$J$5:$J$332,Time_Entries!$M$5:$M$332,H52,Time_Entries!$N$5:$N$332,"")</f>
        <v>8</v>
      </c>
      <c r="J52" s="18">
        <f t="shared" si="1"/>
        <v>0</v>
      </c>
      <c r="K52" s="13">
        <f>IFERROR(INDEX(Lists!$L$5:$L$20,MATCH(INDEX(Lists!$C$5:$C$34,MATCH(B52,Lists!$A$5:$A$34,0))&amp;"|"&amp;D52,Lists!$I$5:$I$20,0)),"")</f>
        <v>100</v>
      </c>
      <c r="L52" s="19">
        <f t="shared" si="2"/>
        <v>0</v>
      </c>
      <c r="M52" s="15">
        <f t="shared" si="3"/>
        <v>800</v>
      </c>
      <c r="N52" s="20">
        <f t="shared" si="4"/>
        <v>0</v>
      </c>
      <c r="O52" s="10" t="str">
        <f t="shared" si="5"/>
        <v>OK</v>
      </c>
    </row>
    <row r="53" spans="1:15" x14ac:dyDescent="0.25">
      <c r="A53" s="7" t="s">
        <v>461</v>
      </c>
      <c r="B53" s="7" t="s">
        <v>229</v>
      </c>
      <c r="C53" s="9">
        <v>46280</v>
      </c>
      <c r="D53" s="7" t="s">
        <v>74</v>
      </c>
      <c r="E53" s="11">
        <v>8</v>
      </c>
      <c r="F53" s="12">
        <v>130</v>
      </c>
      <c r="G53" s="16">
        <v>1040</v>
      </c>
      <c r="H53" s="10" t="str">
        <f t="shared" si="0"/>
        <v>E016|20260915|P104</v>
      </c>
      <c r="I53" s="17">
        <f>SUMIFS(Time_Entries!$J$5:$J$332,Time_Entries!$M$5:$M$332,H53,Time_Entries!$N$5:$N$332,"")</f>
        <v>8</v>
      </c>
      <c r="J53" s="18">
        <f t="shared" si="1"/>
        <v>0</v>
      </c>
      <c r="K53" s="13">
        <f>IFERROR(INDEX(Lists!$L$5:$L$20,MATCH(INDEX(Lists!$C$5:$C$34,MATCH(B53,Lists!$A$5:$A$34,0))&amp;"|"&amp;D53,Lists!$I$5:$I$20,0)),"")</f>
        <v>130</v>
      </c>
      <c r="L53" s="19">
        <f t="shared" si="2"/>
        <v>0</v>
      </c>
      <c r="M53" s="15">
        <f t="shared" si="3"/>
        <v>1040</v>
      </c>
      <c r="N53" s="20">
        <f t="shared" si="4"/>
        <v>0</v>
      </c>
      <c r="O53" s="10" t="str">
        <f t="shared" si="5"/>
        <v>OK</v>
      </c>
    </row>
    <row r="54" spans="1:15" x14ac:dyDescent="0.25">
      <c r="A54" s="7" t="s">
        <v>462</v>
      </c>
      <c r="B54" s="7" t="s">
        <v>240</v>
      </c>
      <c r="C54" s="9">
        <v>46280</v>
      </c>
      <c r="D54" s="7" t="s">
        <v>41</v>
      </c>
      <c r="E54" s="11">
        <v>8</v>
      </c>
      <c r="F54" s="12">
        <v>118</v>
      </c>
      <c r="G54" s="16">
        <v>944</v>
      </c>
      <c r="H54" s="10" t="str">
        <f t="shared" si="0"/>
        <v>E017|20260915|P101</v>
      </c>
      <c r="I54" s="17">
        <f>SUMIFS(Time_Entries!$J$5:$J$332,Time_Entries!$M$5:$M$332,H54,Time_Entries!$N$5:$N$332,"")</f>
        <v>8</v>
      </c>
      <c r="J54" s="18">
        <f t="shared" si="1"/>
        <v>0</v>
      </c>
      <c r="K54" s="13">
        <f>IFERROR(INDEX(Lists!$L$5:$L$20,MATCH(INDEX(Lists!$C$5:$C$34,MATCH(B54,Lists!$A$5:$A$34,0))&amp;"|"&amp;D54,Lists!$I$5:$I$20,0)),"")</f>
        <v>118</v>
      </c>
      <c r="L54" s="19">
        <f t="shared" si="2"/>
        <v>0</v>
      </c>
      <c r="M54" s="15">
        <f t="shared" si="3"/>
        <v>944</v>
      </c>
      <c r="N54" s="20">
        <f t="shared" si="4"/>
        <v>0</v>
      </c>
      <c r="O54" s="10" t="str">
        <f t="shared" si="5"/>
        <v>OK</v>
      </c>
    </row>
    <row r="55" spans="1:15" x14ac:dyDescent="0.25">
      <c r="A55" s="7" t="s">
        <v>463</v>
      </c>
      <c r="B55" s="7" t="s">
        <v>250</v>
      </c>
      <c r="C55" s="9">
        <v>46280</v>
      </c>
      <c r="D55" s="7" t="s">
        <v>46</v>
      </c>
      <c r="E55" s="11">
        <v>8</v>
      </c>
      <c r="F55" s="12">
        <v>124</v>
      </c>
      <c r="G55" s="16">
        <v>992</v>
      </c>
      <c r="H55" s="10" t="str">
        <f t="shared" si="0"/>
        <v>E018|20260915|P102</v>
      </c>
      <c r="I55" s="17">
        <f>SUMIFS(Time_Entries!$J$5:$J$332,Time_Entries!$M$5:$M$332,H55,Time_Entries!$N$5:$N$332,"")</f>
        <v>8</v>
      </c>
      <c r="J55" s="18">
        <f t="shared" si="1"/>
        <v>0</v>
      </c>
      <c r="K55" s="13">
        <f>IFERROR(INDEX(Lists!$L$5:$L$20,MATCH(INDEX(Lists!$C$5:$C$34,MATCH(B55,Lists!$A$5:$A$34,0))&amp;"|"&amp;D55,Lists!$I$5:$I$20,0)),"")</f>
        <v>124</v>
      </c>
      <c r="L55" s="19">
        <f t="shared" si="2"/>
        <v>0</v>
      </c>
      <c r="M55" s="15">
        <f t="shared" si="3"/>
        <v>992</v>
      </c>
      <c r="N55" s="20">
        <f t="shared" si="4"/>
        <v>0</v>
      </c>
      <c r="O55" s="10" t="str">
        <f t="shared" si="5"/>
        <v>OK</v>
      </c>
    </row>
    <row r="56" spans="1:15" x14ac:dyDescent="0.25">
      <c r="A56" s="7" t="s">
        <v>464</v>
      </c>
      <c r="B56" s="7" t="s">
        <v>262</v>
      </c>
      <c r="C56" s="9">
        <v>46280</v>
      </c>
      <c r="D56" s="7" t="s">
        <v>50</v>
      </c>
      <c r="E56" s="11">
        <v>8</v>
      </c>
      <c r="F56" s="12">
        <v>112</v>
      </c>
      <c r="G56" s="16">
        <v>896</v>
      </c>
      <c r="H56" s="10" t="str">
        <f t="shared" si="0"/>
        <v>E019|20260915|P103</v>
      </c>
      <c r="I56" s="17">
        <f>SUMIFS(Time_Entries!$J$5:$J$332,Time_Entries!$M$5:$M$332,H56,Time_Entries!$N$5:$N$332,"")</f>
        <v>8</v>
      </c>
      <c r="J56" s="18">
        <f t="shared" si="1"/>
        <v>0</v>
      </c>
      <c r="K56" s="13">
        <f>IFERROR(INDEX(Lists!$L$5:$L$20,MATCH(INDEX(Lists!$C$5:$C$34,MATCH(B56,Lists!$A$5:$A$34,0))&amp;"|"&amp;D56,Lists!$I$5:$I$20,0)),"")</f>
        <v>112</v>
      </c>
      <c r="L56" s="19">
        <f t="shared" si="2"/>
        <v>0</v>
      </c>
      <c r="M56" s="15">
        <f t="shared" si="3"/>
        <v>896</v>
      </c>
      <c r="N56" s="20">
        <f t="shared" si="4"/>
        <v>0</v>
      </c>
      <c r="O56" s="10" t="str">
        <f t="shared" si="5"/>
        <v>OK</v>
      </c>
    </row>
    <row r="57" spans="1:15" x14ac:dyDescent="0.25">
      <c r="A57" s="7" t="s">
        <v>465</v>
      </c>
      <c r="B57" s="7" t="s">
        <v>273</v>
      </c>
      <c r="C57" s="9">
        <v>46280</v>
      </c>
      <c r="D57" s="7" t="s">
        <v>74</v>
      </c>
      <c r="E57" s="11">
        <v>8</v>
      </c>
      <c r="F57" s="12">
        <v>130</v>
      </c>
      <c r="G57" s="16">
        <v>1040</v>
      </c>
      <c r="H57" s="10" t="str">
        <f t="shared" si="0"/>
        <v>E020|20260915|P104</v>
      </c>
      <c r="I57" s="17">
        <f>SUMIFS(Time_Entries!$J$5:$J$332,Time_Entries!$M$5:$M$332,H57,Time_Entries!$N$5:$N$332,"")</f>
        <v>8</v>
      </c>
      <c r="J57" s="18">
        <f t="shared" si="1"/>
        <v>0</v>
      </c>
      <c r="K57" s="13">
        <f>IFERROR(INDEX(Lists!$L$5:$L$20,MATCH(INDEX(Lists!$C$5:$C$34,MATCH(B57,Lists!$A$5:$A$34,0))&amp;"|"&amp;D57,Lists!$I$5:$I$20,0)),"")</f>
        <v>130</v>
      </c>
      <c r="L57" s="19">
        <f t="shared" si="2"/>
        <v>0</v>
      </c>
      <c r="M57" s="15">
        <f t="shared" si="3"/>
        <v>1040</v>
      </c>
      <c r="N57" s="20">
        <f t="shared" si="4"/>
        <v>0</v>
      </c>
      <c r="O57" s="10" t="str">
        <f t="shared" si="5"/>
        <v>OK</v>
      </c>
    </row>
    <row r="58" spans="1:15" x14ac:dyDescent="0.25">
      <c r="A58" s="7" t="s">
        <v>466</v>
      </c>
      <c r="B58" s="7" t="s">
        <v>284</v>
      </c>
      <c r="C58" s="9">
        <v>46280</v>
      </c>
      <c r="D58" s="7" t="s">
        <v>41</v>
      </c>
      <c r="E58" s="11">
        <v>8</v>
      </c>
      <c r="F58" s="12">
        <v>118</v>
      </c>
      <c r="G58" s="16">
        <v>944</v>
      </c>
      <c r="H58" s="10" t="str">
        <f t="shared" si="0"/>
        <v>E021|20260915|P101</v>
      </c>
      <c r="I58" s="17">
        <f>SUMIFS(Time_Entries!$J$5:$J$332,Time_Entries!$M$5:$M$332,H58,Time_Entries!$N$5:$N$332,"")</f>
        <v>8</v>
      </c>
      <c r="J58" s="18">
        <f t="shared" si="1"/>
        <v>0</v>
      </c>
      <c r="K58" s="13">
        <f>IFERROR(INDEX(Lists!$L$5:$L$20,MATCH(INDEX(Lists!$C$5:$C$34,MATCH(B58,Lists!$A$5:$A$34,0))&amp;"|"&amp;D58,Lists!$I$5:$I$20,0)),"")</f>
        <v>118</v>
      </c>
      <c r="L58" s="19">
        <f t="shared" si="2"/>
        <v>0</v>
      </c>
      <c r="M58" s="15">
        <f t="shared" si="3"/>
        <v>944</v>
      </c>
      <c r="N58" s="20">
        <f t="shared" si="4"/>
        <v>0</v>
      </c>
      <c r="O58" s="10" t="str">
        <f t="shared" si="5"/>
        <v>OK</v>
      </c>
    </row>
    <row r="59" spans="1:15" x14ac:dyDescent="0.25">
      <c r="A59" s="7" t="s">
        <v>467</v>
      </c>
      <c r="B59" s="7" t="s">
        <v>295</v>
      </c>
      <c r="C59" s="9">
        <v>46280</v>
      </c>
      <c r="D59" s="7" t="s">
        <v>46</v>
      </c>
      <c r="E59" s="11">
        <v>8</v>
      </c>
      <c r="F59" s="12">
        <v>124</v>
      </c>
      <c r="G59" s="16">
        <v>992</v>
      </c>
      <c r="H59" s="10" t="str">
        <f t="shared" si="0"/>
        <v>E022|20260915|P102</v>
      </c>
      <c r="I59" s="17">
        <f>SUMIFS(Time_Entries!$J$5:$J$332,Time_Entries!$M$5:$M$332,H59,Time_Entries!$N$5:$N$332,"")</f>
        <v>8</v>
      </c>
      <c r="J59" s="18">
        <f t="shared" si="1"/>
        <v>0</v>
      </c>
      <c r="K59" s="13">
        <f>IFERROR(INDEX(Lists!$L$5:$L$20,MATCH(INDEX(Lists!$C$5:$C$34,MATCH(B59,Lists!$A$5:$A$34,0))&amp;"|"&amp;D59,Lists!$I$5:$I$20,0)),"")</f>
        <v>124</v>
      </c>
      <c r="L59" s="19">
        <f t="shared" si="2"/>
        <v>0</v>
      </c>
      <c r="M59" s="15">
        <f t="shared" si="3"/>
        <v>992</v>
      </c>
      <c r="N59" s="20">
        <f t="shared" si="4"/>
        <v>0</v>
      </c>
      <c r="O59" s="10" t="str">
        <f t="shared" si="5"/>
        <v>OK</v>
      </c>
    </row>
    <row r="60" spans="1:15" x14ac:dyDescent="0.25">
      <c r="A60" s="7" t="s">
        <v>468</v>
      </c>
      <c r="B60" s="7" t="s">
        <v>307</v>
      </c>
      <c r="C60" s="9">
        <v>46280</v>
      </c>
      <c r="D60" s="7" t="s">
        <v>50</v>
      </c>
      <c r="E60" s="11">
        <v>8</v>
      </c>
      <c r="F60" s="12">
        <v>112</v>
      </c>
      <c r="G60" s="16">
        <v>896</v>
      </c>
      <c r="H60" s="10" t="str">
        <f t="shared" si="0"/>
        <v>E023|20260915|P103</v>
      </c>
      <c r="I60" s="17">
        <f>SUMIFS(Time_Entries!$J$5:$J$332,Time_Entries!$M$5:$M$332,H60,Time_Entries!$N$5:$N$332,"")</f>
        <v>8</v>
      </c>
      <c r="J60" s="18">
        <f t="shared" si="1"/>
        <v>0</v>
      </c>
      <c r="K60" s="13">
        <f>IFERROR(INDEX(Lists!$L$5:$L$20,MATCH(INDEX(Lists!$C$5:$C$34,MATCH(B60,Lists!$A$5:$A$34,0))&amp;"|"&amp;D60,Lists!$I$5:$I$20,0)),"")</f>
        <v>112</v>
      </c>
      <c r="L60" s="19">
        <f t="shared" si="2"/>
        <v>0</v>
      </c>
      <c r="M60" s="15">
        <f t="shared" si="3"/>
        <v>896</v>
      </c>
      <c r="N60" s="20">
        <f t="shared" si="4"/>
        <v>0</v>
      </c>
      <c r="O60" s="10" t="str">
        <f t="shared" si="5"/>
        <v>OK</v>
      </c>
    </row>
    <row r="61" spans="1:15" x14ac:dyDescent="0.25">
      <c r="A61" s="7" t="s">
        <v>469</v>
      </c>
      <c r="B61" s="7" t="s">
        <v>317</v>
      </c>
      <c r="C61" s="9">
        <v>46280</v>
      </c>
      <c r="D61" s="7" t="s">
        <v>74</v>
      </c>
      <c r="E61" s="11">
        <v>8</v>
      </c>
      <c r="F61" s="12">
        <v>130</v>
      </c>
      <c r="G61" s="16">
        <v>1040</v>
      </c>
      <c r="H61" s="10" t="str">
        <f t="shared" si="0"/>
        <v>E024|20260915|P104</v>
      </c>
      <c r="I61" s="17">
        <f>SUMIFS(Time_Entries!$J$5:$J$332,Time_Entries!$M$5:$M$332,H61,Time_Entries!$N$5:$N$332,"")</f>
        <v>8</v>
      </c>
      <c r="J61" s="18">
        <f t="shared" si="1"/>
        <v>0</v>
      </c>
      <c r="K61" s="13">
        <f>IFERROR(INDEX(Lists!$L$5:$L$20,MATCH(INDEX(Lists!$C$5:$C$34,MATCH(B61,Lists!$A$5:$A$34,0))&amp;"|"&amp;D61,Lists!$I$5:$I$20,0)),"")</f>
        <v>130</v>
      </c>
      <c r="L61" s="19">
        <f t="shared" si="2"/>
        <v>0</v>
      </c>
      <c r="M61" s="15">
        <f t="shared" si="3"/>
        <v>1040</v>
      </c>
      <c r="N61" s="20">
        <f t="shared" si="4"/>
        <v>0</v>
      </c>
      <c r="O61" s="10" t="str">
        <f t="shared" si="5"/>
        <v>OK</v>
      </c>
    </row>
    <row r="62" spans="1:15" x14ac:dyDescent="0.25">
      <c r="A62" s="7" t="s">
        <v>470</v>
      </c>
      <c r="B62" s="7" t="s">
        <v>329</v>
      </c>
      <c r="C62" s="9">
        <v>46280</v>
      </c>
      <c r="D62" s="7" t="s">
        <v>41</v>
      </c>
      <c r="E62" s="11">
        <v>8</v>
      </c>
      <c r="F62" s="12">
        <v>98</v>
      </c>
      <c r="G62" s="16">
        <v>784</v>
      </c>
      <c r="H62" s="10" t="str">
        <f t="shared" si="0"/>
        <v>E025|20260915|P101</v>
      </c>
      <c r="I62" s="17">
        <f>SUMIFS(Time_Entries!$J$5:$J$332,Time_Entries!$M$5:$M$332,H62,Time_Entries!$N$5:$N$332,"")</f>
        <v>8</v>
      </c>
      <c r="J62" s="18">
        <f t="shared" si="1"/>
        <v>0</v>
      </c>
      <c r="K62" s="13">
        <f>IFERROR(INDEX(Lists!$L$5:$L$20,MATCH(INDEX(Lists!$C$5:$C$34,MATCH(B62,Lists!$A$5:$A$34,0))&amp;"|"&amp;D62,Lists!$I$5:$I$20,0)),"")</f>
        <v>98</v>
      </c>
      <c r="L62" s="19">
        <f t="shared" si="2"/>
        <v>0</v>
      </c>
      <c r="M62" s="15">
        <f t="shared" si="3"/>
        <v>784</v>
      </c>
      <c r="N62" s="20">
        <f t="shared" si="4"/>
        <v>0</v>
      </c>
      <c r="O62" s="10" t="str">
        <f t="shared" si="5"/>
        <v>OK</v>
      </c>
    </row>
    <row r="63" spans="1:15" x14ac:dyDescent="0.25">
      <c r="A63" s="7" t="s">
        <v>471</v>
      </c>
      <c r="B63" s="7" t="s">
        <v>342</v>
      </c>
      <c r="C63" s="9">
        <v>46280</v>
      </c>
      <c r="D63" s="7" t="s">
        <v>46</v>
      </c>
      <c r="E63" s="11">
        <v>8</v>
      </c>
      <c r="F63" s="12">
        <v>103</v>
      </c>
      <c r="G63" s="16">
        <v>824</v>
      </c>
      <c r="H63" s="10" t="str">
        <f t="shared" si="0"/>
        <v>E026|20260915|P102</v>
      </c>
      <c r="I63" s="17">
        <f>SUMIFS(Time_Entries!$J$5:$J$332,Time_Entries!$M$5:$M$332,H63,Time_Entries!$N$5:$N$332,"")</f>
        <v>8</v>
      </c>
      <c r="J63" s="18">
        <f t="shared" si="1"/>
        <v>0</v>
      </c>
      <c r="K63" s="13">
        <f>IFERROR(INDEX(Lists!$L$5:$L$20,MATCH(INDEX(Lists!$C$5:$C$34,MATCH(B63,Lists!$A$5:$A$34,0))&amp;"|"&amp;D63,Lists!$I$5:$I$20,0)),"")</f>
        <v>103</v>
      </c>
      <c r="L63" s="19">
        <f t="shared" si="2"/>
        <v>0</v>
      </c>
      <c r="M63" s="15">
        <f t="shared" si="3"/>
        <v>824</v>
      </c>
      <c r="N63" s="20">
        <f t="shared" si="4"/>
        <v>0</v>
      </c>
      <c r="O63" s="10" t="str">
        <f t="shared" si="5"/>
        <v>OK</v>
      </c>
    </row>
    <row r="64" spans="1:15" x14ac:dyDescent="0.25">
      <c r="A64" s="7" t="s">
        <v>472</v>
      </c>
      <c r="B64" s="7" t="s">
        <v>352</v>
      </c>
      <c r="C64" s="9">
        <v>46280</v>
      </c>
      <c r="D64" s="7" t="s">
        <v>50</v>
      </c>
      <c r="E64" s="11">
        <v>8</v>
      </c>
      <c r="F64" s="12">
        <v>93</v>
      </c>
      <c r="G64" s="16">
        <v>744</v>
      </c>
      <c r="H64" s="10" t="str">
        <f t="shared" si="0"/>
        <v>E027|20260915|P103</v>
      </c>
      <c r="I64" s="17">
        <f>SUMIFS(Time_Entries!$J$5:$J$332,Time_Entries!$M$5:$M$332,H64,Time_Entries!$N$5:$N$332,"")</f>
        <v>8</v>
      </c>
      <c r="J64" s="18">
        <f t="shared" si="1"/>
        <v>0</v>
      </c>
      <c r="K64" s="13">
        <f>IFERROR(INDEX(Lists!$L$5:$L$20,MATCH(INDEX(Lists!$C$5:$C$34,MATCH(B64,Lists!$A$5:$A$34,0))&amp;"|"&amp;D64,Lists!$I$5:$I$20,0)),"")</f>
        <v>93</v>
      </c>
      <c r="L64" s="19">
        <f t="shared" si="2"/>
        <v>0</v>
      </c>
      <c r="M64" s="15">
        <f t="shared" si="3"/>
        <v>744</v>
      </c>
      <c r="N64" s="20">
        <f t="shared" si="4"/>
        <v>0</v>
      </c>
      <c r="O64" s="10" t="str">
        <f t="shared" si="5"/>
        <v>OK</v>
      </c>
    </row>
    <row r="65" spans="1:15" x14ac:dyDescent="0.25">
      <c r="A65" s="7" t="s">
        <v>473</v>
      </c>
      <c r="B65" s="7" t="s">
        <v>363</v>
      </c>
      <c r="C65" s="9">
        <v>46280</v>
      </c>
      <c r="D65" s="7" t="s">
        <v>74</v>
      </c>
      <c r="E65" s="11">
        <v>8</v>
      </c>
      <c r="F65" s="12">
        <v>108</v>
      </c>
      <c r="G65" s="16">
        <v>864</v>
      </c>
      <c r="H65" s="10" t="str">
        <f t="shared" si="0"/>
        <v>E028|20260915|P104</v>
      </c>
      <c r="I65" s="17">
        <f>SUMIFS(Time_Entries!$J$5:$J$332,Time_Entries!$M$5:$M$332,H65,Time_Entries!$N$5:$N$332,"")</f>
        <v>8</v>
      </c>
      <c r="J65" s="18">
        <f t="shared" si="1"/>
        <v>0</v>
      </c>
      <c r="K65" s="13">
        <f>IFERROR(INDEX(Lists!$L$5:$L$20,MATCH(INDEX(Lists!$C$5:$C$34,MATCH(B65,Lists!$A$5:$A$34,0))&amp;"|"&amp;D65,Lists!$I$5:$I$20,0)),"")</f>
        <v>108</v>
      </c>
      <c r="L65" s="19">
        <f t="shared" si="2"/>
        <v>0</v>
      </c>
      <c r="M65" s="15">
        <f t="shared" si="3"/>
        <v>864</v>
      </c>
      <c r="N65" s="20">
        <f t="shared" si="4"/>
        <v>0</v>
      </c>
      <c r="O65" s="10" t="str">
        <f t="shared" si="5"/>
        <v>OK</v>
      </c>
    </row>
    <row r="66" spans="1:15" x14ac:dyDescent="0.25">
      <c r="A66" s="7" t="s">
        <v>474</v>
      </c>
      <c r="B66" s="7" t="s">
        <v>375</v>
      </c>
      <c r="C66" s="9">
        <v>46280</v>
      </c>
      <c r="D66" s="7" t="s">
        <v>41</v>
      </c>
      <c r="E66" s="11">
        <v>8</v>
      </c>
      <c r="F66" s="12">
        <v>98</v>
      </c>
      <c r="G66" s="16">
        <v>784</v>
      </c>
      <c r="H66" s="10" t="str">
        <f t="shared" si="0"/>
        <v>E029|20260915|P101</v>
      </c>
      <c r="I66" s="17">
        <f>SUMIFS(Time_Entries!$J$5:$J$332,Time_Entries!$M$5:$M$332,H66,Time_Entries!$N$5:$N$332,"")</f>
        <v>8</v>
      </c>
      <c r="J66" s="18">
        <f t="shared" si="1"/>
        <v>0</v>
      </c>
      <c r="K66" s="13">
        <f>IFERROR(INDEX(Lists!$L$5:$L$20,MATCH(INDEX(Lists!$C$5:$C$34,MATCH(B66,Lists!$A$5:$A$34,0))&amp;"|"&amp;D66,Lists!$I$5:$I$20,0)),"")</f>
        <v>98</v>
      </c>
      <c r="L66" s="19">
        <f t="shared" si="2"/>
        <v>0</v>
      </c>
      <c r="M66" s="15">
        <f t="shared" si="3"/>
        <v>784</v>
      </c>
      <c r="N66" s="20">
        <f t="shared" si="4"/>
        <v>0</v>
      </c>
      <c r="O66" s="10" t="str">
        <f t="shared" si="5"/>
        <v>OK</v>
      </c>
    </row>
    <row r="67" spans="1:15" x14ac:dyDescent="0.25">
      <c r="A67" s="7" t="s">
        <v>475</v>
      </c>
      <c r="B67" s="7" t="s">
        <v>385</v>
      </c>
      <c r="C67" s="9">
        <v>46280</v>
      </c>
      <c r="D67" s="7" t="s">
        <v>46</v>
      </c>
      <c r="E67" s="11">
        <v>8</v>
      </c>
      <c r="F67" s="12">
        <v>103</v>
      </c>
      <c r="G67" s="16">
        <v>824</v>
      </c>
      <c r="H67" s="10" t="str">
        <f t="shared" si="0"/>
        <v>E030|20260915|P102</v>
      </c>
      <c r="I67" s="17">
        <f>SUMIFS(Time_Entries!$J$5:$J$332,Time_Entries!$M$5:$M$332,H67,Time_Entries!$N$5:$N$332,"")</f>
        <v>8</v>
      </c>
      <c r="J67" s="18">
        <f t="shared" si="1"/>
        <v>0</v>
      </c>
      <c r="K67" s="13">
        <f>IFERROR(INDEX(Lists!$L$5:$L$20,MATCH(INDEX(Lists!$C$5:$C$34,MATCH(B67,Lists!$A$5:$A$34,0))&amp;"|"&amp;D67,Lists!$I$5:$I$20,0)),"")</f>
        <v>103</v>
      </c>
      <c r="L67" s="19">
        <f t="shared" si="2"/>
        <v>0</v>
      </c>
      <c r="M67" s="15">
        <f t="shared" si="3"/>
        <v>824</v>
      </c>
      <c r="N67" s="20">
        <f t="shared" si="4"/>
        <v>0</v>
      </c>
      <c r="O67" s="10" t="str">
        <f t="shared" si="5"/>
        <v>OK</v>
      </c>
    </row>
    <row r="68" spans="1:15" x14ac:dyDescent="0.25">
      <c r="A68" s="7" t="s">
        <v>476</v>
      </c>
      <c r="B68" s="7" t="s">
        <v>40</v>
      </c>
      <c r="C68" s="9">
        <v>46281</v>
      </c>
      <c r="D68" s="7" t="s">
        <v>41</v>
      </c>
      <c r="E68" s="11">
        <v>8</v>
      </c>
      <c r="F68" s="12">
        <v>78</v>
      </c>
      <c r="G68" s="16">
        <v>624</v>
      </c>
      <c r="H68" s="10" t="str">
        <f t="shared" si="0"/>
        <v>E001|20260916|P101</v>
      </c>
      <c r="I68" s="17">
        <f>SUMIFS(Time_Entries!$J$5:$J$332,Time_Entries!$M$5:$M$332,H68,Time_Entries!$N$5:$N$332,"")</f>
        <v>8</v>
      </c>
      <c r="J68" s="18">
        <f t="shared" si="1"/>
        <v>0</v>
      </c>
      <c r="K68" s="13">
        <f>IFERROR(INDEX(Lists!$L$5:$L$20,MATCH(INDEX(Lists!$C$5:$C$34,MATCH(B68,Lists!$A$5:$A$34,0))&amp;"|"&amp;D68,Lists!$I$5:$I$20,0)),"")</f>
        <v>78</v>
      </c>
      <c r="L68" s="19">
        <f t="shared" si="2"/>
        <v>0</v>
      </c>
      <c r="M68" s="15">
        <f t="shared" si="3"/>
        <v>624</v>
      </c>
      <c r="N68" s="20">
        <f t="shared" si="4"/>
        <v>0</v>
      </c>
      <c r="O68" s="10" t="str">
        <f t="shared" si="5"/>
        <v>OK</v>
      </c>
    </row>
    <row r="69" spans="1:15" x14ac:dyDescent="0.25">
      <c r="A69" s="7" t="s">
        <v>477</v>
      </c>
      <c r="B69" s="7" t="s">
        <v>58</v>
      </c>
      <c r="C69" s="9">
        <v>46281</v>
      </c>
      <c r="D69" s="7" t="s">
        <v>46</v>
      </c>
      <c r="E69" s="11">
        <v>8</v>
      </c>
      <c r="F69" s="12">
        <v>82</v>
      </c>
      <c r="G69" s="16">
        <v>656</v>
      </c>
      <c r="H69" s="10" t="str">
        <f t="shared" ref="H69:H132" si="6">B69&amp;"|"&amp;TEXT(C69,"yyyymmdd")&amp;"|"&amp;D69</f>
        <v>E002|20260916|P102</v>
      </c>
      <c r="I69" s="17">
        <f>SUMIFS(Time_Entries!$J$5:$J$332,Time_Entries!$M$5:$M$332,H69,Time_Entries!$N$5:$N$332,"")</f>
        <v>8</v>
      </c>
      <c r="J69" s="18">
        <f t="shared" ref="J69:J132" si="7">E69-I69</f>
        <v>0</v>
      </c>
      <c r="K69" s="13">
        <f>IFERROR(INDEX(Lists!$L$5:$L$20,MATCH(INDEX(Lists!$C$5:$C$34,MATCH(B69,Lists!$A$5:$A$34,0))&amp;"|"&amp;D69,Lists!$I$5:$I$20,0)),"")</f>
        <v>82</v>
      </c>
      <c r="L69" s="19">
        <f t="shared" ref="L69:L132" si="8">IF(K69="","",F69-K69)</f>
        <v>0</v>
      </c>
      <c r="M69" s="15">
        <f t="shared" ref="M69:M132" si="9">IF(K69="",0,I69*K69)</f>
        <v>656</v>
      </c>
      <c r="N69" s="20">
        <f t="shared" ref="N69:N132" si="10">G69-M69</f>
        <v>0</v>
      </c>
      <c r="O69" s="10" t="str">
        <f t="shared" ref="O69:O132" si="11">IF(I69=0,"NO TIME ENTRY",IF(ABS(J69)&gt;0.001,"HOURS",IF(AND(K69&lt;&gt;"",ABS(L69)&gt;0.001),"RATE","OK")))</f>
        <v>OK</v>
      </c>
    </row>
    <row r="70" spans="1:15" x14ac:dyDescent="0.25">
      <c r="A70" s="7" t="s">
        <v>478</v>
      </c>
      <c r="B70" s="7" t="s">
        <v>72</v>
      </c>
      <c r="C70" s="9">
        <v>46281</v>
      </c>
      <c r="D70" s="7" t="s">
        <v>50</v>
      </c>
      <c r="E70" s="11">
        <v>8</v>
      </c>
      <c r="F70" s="12">
        <v>74</v>
      </c>
      <c r="G70" s="16">
        <v>592</v>
      </c>
      <c r="H70" s="10" t="str">
        <f t="shared" si="6"/>
        <v>E003|20260916|P103</v>
      </c>
      <c r="I70" s="17">
        <f>SUMIFS(Time_Entries!$J$5:$J$332,Time_Entries!$M$5:$M$332,H70,Time_Entries!$N$5:$N$332,"")</f>
        <v>8</v>
      </c>
      <c r="J70" s="18">
        <f t="shared" si="7"/>
        <v>0</v>
      </c>
      <c r="K70" s="13">
        <f>IFERROR(INDEX(Lists!$L$5:$L$20,MATCH(INDEX(Lists!$C$5:$C$34,MATCH(B70,Lists!$A$5:$A$34,0))&amp;"|"&amp;D70,Lists!$I$5:$I$20,0)),"")</f>
        <v>74</v>
      </c>
      <c r="L70" s="19">
        <f t="shared" si="8"/>
        <v>0</v>
      </c>
      <c r="M70" s="15">
        <f t="shared" si="9"/>
        <v>592</v>
      </c>
      <c r="N70" s="20">
        <f t="shared" si="10"/>
        <v>0</v>
      </c>
      <c r="O70" s="10" t="str">
        <f t="shared" si="11"/>
        <v>OK</v>
      </c>
    </row>
    <row r="71" spans="1:15" x14ac:dyDescent="0.25">
      <c r="A71" s="7" t="s">
        <v>479</v>
      </c>
      <c r="B71" s="7" t="s">
        <v>87</v>
      </c>
      <c r="C71" s="9">
        <v>46281</v>
      </c>
      <c r="D71" s="7" t="s">
        <v>74</v>
      </c>
      <c r="E71" s="11">
        <v>8</v>
      </c>
      <c r="F71" s="12">
        <v>86</v>
      </c>
      <c r="G71" s="16">
        <v>688</v>
      </c>
      <c r="H71" s="10" t="str">
        <f t="shared" si="6"/>
        <v>E004|20260916|P104</v>
      </c>
      <c r="I71" s="17">
        <f>SUMIFS(Time_Entries!$J$5:$J$332,Time_Entries!$M$5:$M$332,H71,Time_Entries!$N$5:$N$332,"")</f>
        <v>8</v>
      </c>
      <c r="J71" s="18">
        <f t="shared" si="7"/>
        <v>0</v>
      </c>
      <c r="K71" s="13">
        <f>IFERROR(INDEX(Lists!$L$5:$L$20,MATCH(INDEX(Lists!$C$5:$C$34,MATCH(B71,Lists!$A$5:$A$34,0))&amp;"|"&amp;D71,Lists!$I$5:$I$20,0)),"")</f>
        <v>86</v>
      </c>
      <c r="L71" s="19">
        <f t="shared" si="8"/>
        <v>0</v>
      </c>
      <c r="M71" s="15">
        <f t="shared" si="9"/>
        <v>688</v>
      </c>
      <c r="N71" s="20">
        <f t="shared" si="10"/>
        <v>0</v>
      </c>
      <c r="O71" s="10" t="str">
        <f t="shared" si="11"/>
        <v>OK</v>
      </c>
    </row>
    <row r="72" spans="1:15" x14ac:dyDescent="0.25">
      <c r="A72" s="7" t="s">
        <v>480</v>
      </c>
      <c r="B72" s="7" t="s">
        <v>110</v>
      </c>
      <c r="C72" s="9">
        <v>46281</v>
      </c>
      <c r="D72" s="7" t="s">
        <v>46</v>
      </c>
      <c r="E72" s="11">
        <v>8</v>
      </c>
      <c r="F72" s="12">
        <v>82</v>
      </c>
      <c r="G72" s="16">
        <v>656</v>
      </c>
      <c r="H72" s="10" t="str">
        <f t="shared" si="6"/>
        <v>E006|20260916|P102</v>
      </c>
      <c r="I72" s="17">
        <f>SUMIFS(Time_Entries!$J$5:$J$332,Time_Entries!$M$5:$M$332,H72,Time_Entries!$N$5:$N$332,"")</f>
        <v>8</v>
      </c>
      <c r="J72" s="18">
        <f t="shared" si="7"/>
        <v>0</v>
      </c>
      <c r="K72" s="13">
        <f>IFERROR(INDEX(Lists!$L$5:$L$20,MATCH(INDEX(Lists!$C$5:$C$34,MATCH(B72,Lists!$A$5:$A$34,0))&amp;"|"&amp;D72,Lists!$I$5:$I$20,0)),"")</f>
        <v>82</v>
      </c>
      <c r="L72" s="19">
        <f t="shared" si="8"/>
        <v>0</v>
      </c>
      <c r="M72" s="15">
        <f t="shared" si="9"/>
        <v>656</v>
      </c>
      <c r="N72" s="20">
        <f t="shared" si="10"/>
        <v>0</v>
      </c>
      <c r="O72" s="10" t="str">
        <f t="shared" si="11"/>
        <v>OK</v>
      </c>
    </row>
    <row r="73" spans="1:15" x14ac:dyDescent="0.25">
      <c r="A73" s="7" t="s">
        <v>481</v>
      </c>
      <c r="B73" s="7" t="s">
        <v>124</v>
      </c>
      <c r="C73" s="9">
        <v>46281</v>
      </c>
      <c r="D73" s="7" t="s">
        <v>50</v>
      </c>
      <c r="E73" s="11">
        <v>8</v>
      </c>
      <c r="F73" s="12">
        <v>74</v>
      </c>
      <c r="G73" s="16">
        <v>592</v>
      </c>
      <c r="H73" s="10" t="str">
        <f t="shared" si="6"/>
        <v>E007|20260916|P103</v>
      </c>
      <c r="I73" s="17">
        <f>SUMIFS(Time_Entries!$J$5:$J$332,Time_Entries!$M$5:$M$332,H73,Time_Entries!$N$5:$N$332,"")</f>
        <v>8</v>
      </c>
      <c r="J73" s="18">
        <f t="shared" si="7"/>
        <v>0</v>
      </c>
      <c r="K73" s="13">
        <f>IFERROR(INDEX(Lists!$L$5:$L$20,MATCH(INDEX(Lists!$C$5:$C$34,MATCH(B73,Lists!$A$5:$A$34,0))&amp;"|"&amp;D73,Lists!$I$5:$I$20,0)),"")</f>
        <v>74</v>
      </c>
      <c r="L73" s="19">
        <f t="shared" si="8"/>
        <v>0</v>
      </c>
      <c r="M73" s="15">
        <f t="shared" si="9"/>
        <v>592</v>
      </c>
      <c r="N73" s="20">
        <f t="shared" si="10"/>
        <v>0</v>
      </c>
      <c r="O73" s="10" t="str">
        <f t="shared" si="11"/>
        <v>OK</v>
      </c>
    </row>
    <row r="74" spans="1:15" x14ac:dyDescent="0.25">
      <c r="A74" s="7" t="s">
        <v>482</v>
      </c>
      <c r="B74" s="7" t="s">
        <v>136</v>
      </c>
      <c r="C74" s="9">
        <v>46281</v>
      </c>
      <c r="D74" s="7" t="s">
        <v>74</v>
      </c>
      <c r="E74" s="11">
        <v>8</v>
      </c>
      <c r="F74" s="12">
        <v>86</v>
      </c>
      <c r="G74" s="16">
        <v>688</v>
      </c>
      <c r="H74" s="10" t="str">
        <f t="shared" si="6"/>
        <v>E008|20260916|P104</v>
      </c>
      <c r="I74" s="17">
        <f>SUMIFS(Time_Entries!$J$5:$J$332,Time_Entries!$M$5:$M$332,H74,Time_Entries!$N$5:$N$332,"")</f>
        <v>8</v>
      </c>
      <c r="J74" s="18">
        <f t="shared" si="7"/>
        <v>0</v>
      </c>
      <c r="K74" s="13">
        <f>IFERROR(INDEX(Lists!$L$5:$L$20,MATCH(INDEX(Lists!$C$5:$C$34,MATCH(B74,Lists!$A$5:$A$34,0))&amp;"|"&amp;D74,Lists!$I$5:$I$20,0)),"")</f>
        <v>86</v>
      </c>
      <c r="L74" s="19">
        <f t="shared" si="8"/>
        <v>0</v>
      </c>
      <c r="M74" s="15">
        <f t="shared" si="9"/>
        <v>688</v>
      </c>
      <c r="N74" s="20">
        <f t="shared" si="10"/>
        <v>0</v>
      </c>
      <c r="O74" s="10" t="str">
        <f t="shared" si="11"/>
        <v>OK</v>
      </c>
    </row>
    <row r="75" spans="1:15" x14ac:dyDescent="0.25">
      <c r="A75" s="7" t="s">
        <v>483</v>
      </c>
      <c r="B75" s="7" t="s">
        <v>147</v>
      </c>
      <c r="C75" s="9">
        <v>46281</v>
      </c>
      <c r="D75" s="7" t="s">
        <v>41</v>
      </c>
      <c r="E75" s="11">
        <v>8</v>
      </c>
      <c r="F75" s="12">
        <v>78</v>
      </c>
      <c r="G75" s="16">
        <v>624</v>
      </c>
      <c r="H75" s="10" t="str">
        <f t="shared" si="6"/>
        <v>E009|20260916|P101</v>
      </c>
      <c r="I75" s="17">
        <f>SUMIFS(Time_Entries!$J$5:$J$332,Time_Entries!$M$5:$M$332,H75,Time_Entries!$N$5:$N$332,"")</f>
        <v>8</v>
      </c>
      <c r="J75" s="18">
        <f t="shared" si="7"/>
        <v>0</v>
      </c>
      <c r="K75" s="13">
        <f>IFERROR(INDEX(Lists!$L$5:$L$20,MATCH(INDEX(Lists!$C$5:$C$34,MATCH(B75,Lists!$A$5:$A$34,0))&amp;"|"&amp;D75,Lists!$I$5:$I$20,0)),"")</f>
        <v>78</v>
      </c>
      <c r="L75" s="19">
        <f t="shared" si="8"/>
        <v>0</v>
      </c>
      <c r="M75" s="15">
        <f t="shared" si="9"/>
        <v>624</v>
      </c>
      <c r="N75" s="20">
        <f t="shared" si="10"/>
        <v>0</v>
      </c>
      <c r="O75" s="10" t="str">
        <f t="shared" si="11"/>
        <v>OK</v>
      </c>
    </row>
    <row r="76" spans="1:15" x14ac:dyDescent="0.25">
      <c r="A76" s="7" t="s">
        <v>484</v>
      </c>
      <c r="B76" s="7" t="s">
        <v>158</v>
      </c>
      <c r="C76" s="9">
        <v>46281</v>
      </c>
      <c r="D76" s="7" t="s">
        <v>46</v>
      </c>
      <c r="E76" s="11">
        <v>8</v>
      </c>
      <c r="F76" s="12">
        <v>110</v>
      </c>
      <c r="G76" s="16">
        <v>880</v>
      </c>
      <c r="H76" s="10" t="str">
        <f t="shared" si="6"/>
        <v>E010|20260916|P102</v>
      </c>
      <c r="I76" s="17">
        <f>SUMIFS(Time_Entries!$J$5:$J$332,Time_Entries!$M$5:$M$332,H76,Time_Entries!$N$5:$N$332,"")</f>
        <v>8</v>
      </c>
      <c r="J76" s="18">
        <f t="shared" si="7"/>
        <v>0</v>
      </c>
      <c r="K76" s="13">
        <f>IFERROR(INDEX(Lists!$L$5:$L$20,MATCH(INDEX(Lists!$C$5:$C$34,MATCH(B76,Lists!$A$5:$A$34,0))&amp;"|"&amp;D76,Lists!$I$5:$I$20,0)),"")</f>
        <v>110</v>
      </c>
      <c r="L76" s="19">
        <f t="shared" si="8"/>
        <v>0</v>
      </c>
      <c r="M76" s="15">
        <f t="shared" si="9"/>
        <v>880</v>
      </c>
      <c r="N76" s="20">
        <f t="shared" si="10"/>
        <v>0</v>
      </c>
      <c r="O76" s="10" t="str">
        <f t="shared" si="11"/>
        <v>OK</v>
      </c>
    </row>
    <row r="77" spans="1:15" x14ac:dyDescent="0.25">
      <c r="A77" s="7" t="s">
        <v>485</v>
      </c>
      <c r="B77" s="7" t="s">
        <v>170</v>
      </c>
      <c r="C77" s="9">
        <v>46281</v>
      </c>
      <c r="D77" s="7" t="s">
        <v>50</v>
      </c>
      <c r="E77" s="11">
        <v>8</v>
      </c>
      <c r="F77" s="12">
        <v>100</v>
      </c>
      <c r="G77" s="16">
        <v>800</v>
      </c>
      <c r="H77" s="10" t="str">
        <f t="shared" si="6"/>
        <v>E011|20260916|P103</v>
      </c>
      <c r="I77" s="17">
        <f>SUMIFS(Time_Entries!$J$5:$J$332,Time_Entries!$M$5:$M$332,H77,Time_Entries!$N$5:$N$332,"")</f>
        <v>8</v>
      </c>
      <c r="J77" s="18">
        <f t="shared" si="7"/>
        <v>0</v>
      </c>
      <c r="K77" s="13">
        <f>IFERROR(INDEX(Lists!$L$5:$L$20,MATCH(INDEX(Lists!$C$5:$C$34,MATCH(B77,Lists!$A$5:$A$34,0))&amp;"|"&amp;D77,Lists!$I$5:$I$20,0)),"")</f>
        <v>100</v>
      </c>
      <c r="L77" s="19">
        <f t="shared" si="8"/>
        <v>0</v>
      </c>
      <c r="M77" s="15">
        <f t="shared" si="9"/>
        <v>800</v>
      </c>
      <c r="N77" s="20">
        <f t="shared" si="10"/>
        <v>0</v>
      </c>
      <c r="O77" s="10" t="str">
        <f t="shared" si="11"/>
        <v>OK</v>
      </c>
    </row>
    <row r="78" spans="1:15" x14ac:dyDescent="0.25">
      <c r="A78" s="7" t="s">
        <v>486</v>
      </c>
      <c r="B78" s="7" t="s">
        <v>180</v>
      </c>
      <c r="C78" s="9">
        <v>46281</v>
      </c>
      <c r="D78" s="7" t="s">
        <v>74</v>
      </c>
      <c r="E78" s="11">
        <v>8</v>
      </c>
      <c r="F78" s="12">
        <v>116</v>
      </c>
      <c r="G78" s="16">
        <v>928</v>
      </c>
      <c r="H78" s="10" t="str">
        <f t="shared" si="6"/>
        <v>E012|20260916|P104</v>
      </c>
      <c r="I78" s="17">
        <f>SUMIFS(Time_Entries!$J$5:$J$332,Time_Entries!$M$5:$M$332,H78,Time_Entries!$N$5:$N$332,"")</f>
        <v>8</v>
      </c>
      <c r="J78" s="18">
        <f t="shared" si="7"/>
        <v>0</v>
      </c>
      <c r="K78" s="13">
        <f>IFERROR(INDEX(Lists!$L$5:$L$20,MATCH(INDEX(Lists!$C$5:$C$34,MATCH(B78,Lists!$A$5:$A$34,0))&amp;"|"&amp;D78,Lists!$I$5:$I$20,0)),"")</f>
        <v>116</v>
      </c>
      <c r="L78" s="19">
        <f t="shared" si="8"/>
        <v>0</v>
      </c>
      <c r="M78" s="15">
        <f t="shared" si="9"/>
        <v>928</v>
      </c>
      <c r="N78" s="20">
        <f t="shared" si="10"/>
        <v>0</v>
      </c>
      <c r="O78" s="10" t="str">
        <f t="shared" si="11"/>
        <v>OK</v>
      </c>
    </row>
    <row r="79" spans="1:15" x14ac:dyDescent="0.25">
      <c r="A79" s="7" t="s">
        <v>487</v>
      </c>
      <c r="B79" s="7" t="s">
        <v>194</v>
      </c>
      <c r="C79" s="9">
        <v>46281</v>
      </c>
      <c r="D79" s="7" t="s">
        <v>41</v>
      </c>
      <c r="E79" s="11">
        <v>8</v>
      </c>
      <c r="F79" s="12">
        <v>105</v>
      </c>
      <c r="G79" s="16">
        <v>840</v>
      </c>
      <c r="H79" s="10" t="str">
        <f t="shared" si="6"/>
        <v>E013|20260916|P101</v>
      </c>
      <c r="I79" s="17">
        <f>SUMIFS(Time_Entries!$J$5:$J$332,Time_Entries!$M$5:$M$332,H79,Time_Entries!$N$5:$N$332,"")</f>
        <v>8</v>
      </c>
      <c r="J79" s="18">
        <f t="shared" si="7"/>
        <v>0</v>
      </c>
      <c r="K79" s="13">
        <f>IFERROR(INDEX(Lists!$L$5:$L$20,MATCH(INDEX(Lists!$C$5:$C$34,MATCH(B79,Lists!$A$5:$A$34,0))&amp;"|"&amp;D79,Lists!$I$5:$I$20,0)),"")</f>
        <v>105</v>
      </c>
      <c r="L79" s="19">
        <f t="shared" si="8"/>
        <v>0</v>
      </c>
      <c r="M79" s="15">
        <f t="shared" si="9"/>
        <v>840</v>
      </c>
      <c r="N79" s="20">
        <f t="shared" si="10"/>
        <v>0</v>
      </c>
      <c r="O79" s="10" t="str">
        <f t="shared" si="11"/>
        <v>OK</v>
      </c>
    </row>
    <row r="80" spans="1:15" x14ac:dyDescent="0.25">
      <c r="A80" s="7" t="s">
        <v>488</v>
      </c>
      <c r="B80" s="7" t="s">
        <v>206</v>
      </c>
      <c r="C80" s="9">
        <v>46281</v>
      </c>
      <c r="D80" s="7" t="s">
        <v>41</v>
      </c>
      <c r="E80" s="11">
        <v>4</v>
      </c>
      <c r="F80" s="12">
        <v>105</v>
      </c>
      <c r="G80" s="16">
        <v>420</v>
      </c>
      <c r="H80" s="10" t="str">
        <f t="shared" si="6"/>
        <v>E014|20260916|P101</v>
      </c>
      <c r="I80" s="17">
        <f>SUMIFS(Time_Entries!$J$5:$J$332,Time_Entries!$M$5:$M$332,H80,Time_Entries!$N$5:$N$332,"")</f>
        <v>4</v>
      </c>
      <c r="J80" s="18">
        <f t="shared" si="7"/>
        <v>0</v>
      </c>
      <c r="K80" s="13">
        <f>IFERROR(INDEX(Lists!$L$5:$L$20,MATCH(INDEX(Lists!$C$5:$C$34,MATCH(B80,Lists!$A$5:$A$34,0))&amp;"|"&amp;D80,Lists!$I$5:$I$20,0)),"")</f>
        <v>105</v>
      </c>
      <c r="L80" s="19">
        <f t="shared" si="8"/>
        <v>0</v>
      </c>
      <c r="M80" s="15">
        <f t="shared" si="9"/>
        <v>420</v>
      </c>
      <c r="N80" s="20">
        <f t="shared" si="10"/>
        <v>0</v>
      </c>
      <c r="O80" s="10" t="str">
        <f t="shared" si="11"/>
        <v>OK</v>
      </c>
    </row>
    <row r="81" spans="1:15" x14ac:dyDescent="0.25">
      <c r="A81" s="7" t="s">
        <v>489</v>
      </c>
      <c r="B81" s="7" t="s">
        <v>206</v>
      </c>
      <c r="C81" s="9">
        <v>46281</v>
      </c>
      <c r="D81" s="7" t="s">
        <v>46</v>
      </c>
      <c r="E81" s="11">
        <v>4</v>
      </c>
      <c r="F81" s="12">
        <v>110</v>
      </c>
      <c r="G81" s="16">
        <v>440</v>
      </c>
      <c r="H81" s="10" t="str">
        <f t="shared" si="6"/>
        <v>E014|20260916|P102</v>
      </c>
      <c r="I81" s="17">
        <f>SUMIFS(Time_Entries!$J$5:$J$332,Time_Entries!$M$5:$M$332,H81,Time_Entries!$N$5:$N$332,"")</f>
        <v>4</v>
      </c>
      <c r="J81" s="18">
        <f t="shared" si="7"/>
        <v>0</v>
      </c>
      <c r="K81" s="13">
        <f>IFERROR(INDEX(Lists!$L$5:$L$20,MATCH(INDEX(Lists!$C$5:$C$34,MATCH(B81,Lists!$A$5:$A$34,0))&amp;"|"&amp;D81,Lists!$I$5:$I$20,0)),"")</f>
        <v>110</v>
      </c>
      <c r="L81" s="19">
        <f t="shared" si="8"/>
        <v>0</v>
      </c>
      <c r="M81" s="15">
        <f t="shared" si="9"/>
        <v>440</v>
      </c>
      <c r="N81" s="20">
        <f t="shared" si="10"/>
        <v>0</v>
      </c>
      <c r="O81" s="10" t="str">
        <f t="shared" si="11"/>
        <v>OK</v>
      </c>
    </row>
    <row r="82" spans="1:15" x14ac:dyDescent="0.25">
      <c r="A82" s="7" t="s">
        <v>490</v>
      </c>
      <c r="B82" s="7" t="s">
        <v>217</v>
      </c>
      <c r="C82" s="9">
        <v>46281</v>
      </c>
      <c r="D82" s="7" t="s">
        <v>50</v>
      </c>
      <c r="E82" s="11">
        <v>8</v>
      </c>
      <c r="F82" s="12">
        <v>100</v>
      </c>
      <c r="G82" s="16">
        <v>800</v>
      </c>
      <c r="H82" s="10" t="str">
        <f t="shared" si="6"/>
        <v>E015|20260916|P103</v>
      </c>
      <c r="I82" s="17">
        <f>SUMIFS(Time_Entries!$J$5:$J$332,Time_Entries!$M$5:$M$332,H82,Time_Entries!$N$5:$N$332,"")</f>
        <v>8</v>
      </c>
      <c r="J82" s="18">
        <f t="shared" si="7"/>
        <v>0</v>
      </c>
      <c r="K82" s="13">
        <f>IFERROR(INDEX(Lists!$L$5:$L$20,MATCH(INDEX(Lists!$C$5:$C$34,MATCH(B82,Lists!$A$5:$A$34,0))&amp;"|"&amp;D82,Lists!$I$5:$I$20,0)),"")</f>
        <v>100</v>
      </c>
      <c r="L82" s="19">
        <f t="shared" si="8"/>
        <v>0</v>
      </c>
      <c r="M82" s="15">
        <f t="shared" si="9"/>
        <v>800</v>
      </c>
      <c r="N82" s="20">
        <f t="shared" si="10"/>
        <v>0</v>
      </c>
      <c r="O82" s="10" t="str">
        <f t="shared" si="11"/>
        <v>OK</v>
      </c>
    </row>
    <row r="83" spans="1:15" x14ac:dyDescent="0.25">
      <c r="A83" s="7" t="s">
        <v>491</v>
      </c>
      <c r="B83" s="7" t="s">
        <v>229</v>
      </c>
      <c r="C83" s="9">
        <v>46281</v>
      </c>
      <c r="D83" s="7" t="s">
        <v>74</v>
      </c>
      <c r="E83" s="11">
        <v>8</v>
      </c>
      <c r="F83" s="12">
        <v>130</v>
      </c>
      <c r="G83" s="16">
        <v>1040</v>
      </c>
      <c r="H83" s="10" t="str">
        <f t="shared" si="6"/>
        <v>E016|20260916|P104</v>
      </c>
      <c r="I83" s="17">
        <f>SUMIFS(Time_Entries!$J$5:$J$332,Time_Entries!$M$5:$M$332,H83,Time_Entries!$N$5:$N$332,"")</f>
        <v>8</v>
      </c>
      <c r="J83" s="18">
        <f t="shared" si="7"/>
        <v>0</v>
      </c>
      <c r="K83" s="13">
        <f>IFERROR(INDEX(Lists!$L$5:$L$20,MATCH(INDEX(Lists!$C$5:$C$34,MATCH(B83,Lists!$A$5:$A$34,0))&amp;"|"&amp;D83,Lists!$I$5:$I$20,0)),"")</f>
        <v>130</v>
      </c>
      <c r="L83" s="19">
        <f t="shared" si="8"/>
        <v>0</v>
      </c>
      <c r="M83" s="15">
        <f t="shared" si="9"/>
        <v>1040</v>
      </c>
      <c r="N83" s="20">
        <f t="shared" si="10"/>
        <v>0</v>
      </c>
      <c r="O83" s="10" t="str">
        <f t="shared" si="11"/>
        <v>OK</v>
      </c>
    </row>
    <row r="84" spans="1:15" x14ac:dyDescent="0.25">
      <c r="A84" s="7" t="s">
        <v>492</v>
      </c>
      <c r="B84" s="7" t="s">
        <v>240</v>
      </c>
      <c r="C84" s="9">
        <v>46281</v>
      </c>
      <c r="D84" s="7" t="s">
        <v>41</v>
      </c>
      <c r="E84" s="11">
        <v>8</v>
      </c>
      <c r="F84" s="12">
        <v>118</v>
      </c>
      <c r="G84" s="16">
        <v>944</v>
      </c>
      <c r="H84" s="10" t="str">
        <f t="shared" si="6"/>
        <v>E017|20260916|P101</v>
      </c>
      <c r="I84" s="17">
        <f>SUMIFS(Time_Entries!$J$5:$J$332,Time_Entries!$M$5:$M$332,H84,Time_Entries!$N$5:$N$332,"")</f>
        <v>8</v>
      </c>
      <c r="J84" s="18">
        <f t="shared" si="7"/>
        <v>0</v>
      </c>
      <c r="K84" s="13">
        <f>IFERROR(INDEX(Lists!$L$5:$L$20,MATCH(INDEX(Lists!$C$5:$C$34,MATCH(B84,Lists!$A$5:$A$34,0))&amp;"|"&amp;D84,Lists!$I$5:$I$20,0)),"")</f>
        <v>118</v>
      </c>
      <c r="L84" s="19">
        <f t="shared" si="8"/>
        <v>0</v>
      </c>
      <c r="M84" s="15">
        <f t="shared" si="9"/>
        <v>944</v>
      </c>
      <c r="N84" s="20">
        <f t="shared" si="10"/>
        <v>0</v>
      </c>
      <c r="O84" s="10" t="str">
        <f t="shared" si="11"/>
        <v>OK</v>
      </c>
    </row>
    <row r="85" spans="1:15" x14ac:dyDescent="0.25">
      <c r="A85" s="7" t="s">
        <v>493</v>
      </c>
      <c r="B85" s="7" t="s">
        <v>250</v>
      </c>
      <c r="C85" s="9">
        <v>46281</v>
      </c>
      <c r="D85" s="7" t="s">
        <v>46</v>
      </c>
      <c r="E85" s="11">
        <v>8</v>
      </c>
      <c r="F85" s="12">
        <v>124</v>
      </c>
      <c r="G85" s="16">
        <v>992</v>
      </c>
      <c r="H85" s="10" t="str">
        <f t="shared" si="6"/>
        <v>E018|20260916|P102</v>
      </c>
      <c r="I85" s="17">
        <f>SUMIFS(Time_Entries!$J$5:$J$332,Time_Entries!$M$5:$M$332,H85,Time_Entries!$N$5:$N$332,"")</f>
        <v>8</v>
      </c>
      <c r="J85" s="18">
        <f t="shared" si="7"/>
        <v>0</v>
      </c>
      <c r="K85" s="13">
        <f>IFERROR(INDEX(Lists!$L$5:$L$20,MATCH(INDEX(Lists!$C$5:$C$34,MATCH(B85,Lists!$A$5:$A$34,0))&amp;"|"&amp;D85,Lists!$I$5:$I$20,0)),"")</f>
        <v>124</v>
      </c>
      <c r="L85" s="19">
        <f t="shared" si="8"/>
        <v>0</v>
      </c>
      <c r="M85" s="15">
        <f t="shared" si="9"/>
        <v>992</v>
      </c>
      <c r="N85" s="20">
        <f t="shared" si="10"/>
        <v>0</v>
      </c>
      <c r="O85" s="10" t="str">
        <f t="shared" si="11"/>
        <v>OK</v>
      </c>
    </row>
    <row r="86" spans="1:15" x14ac:dyDescent="0.25">
      <c r="A86" s="7" t="s">
        <v>494</v>
      </c>
      <c r="B86" s="7" t="s">
        <v>262</v>
      </c>
      <c r="C86" s="9">
        <v>46281</v>
      </c>
      <c r="D86" s="7" t="s">
        <v>50</v>
      </c>
      <c r="E86" s="11">
        <v>8</v>
      </c>
      <c r="F86" s="12">
        <v>112</v>
      </c>
      <c r="G86" s="16">
        <v>896</v>
      </c>
      <c r="H86" s="10" t="str">
        <f t="shared" si="6"/>
        <v>E019|20260916|P103</v>
      </c>
      <c r="I86" s="17">
        <f>SUMIFS(Time_Entries!$J$5:$J$332,Time_Entries!$M$5:$M$332,H86,Time_Entries!$N$5:$N$332,"")</f>
        <v>8</v>
      </c>
      <c r="J86" s="18">
        <f t="shared" si="7"/>
        <v>0</v>
      </c>
      <c r="K86" s="13">
        <f>IFERROR(INDEX(Lists!$L$5:$L$20,MATCH(INDEX(Lists!$C$5:$C$34,MATCH(B86,Lists!$A$5:$A$34,0))&amp;"|"&amp;D86,Lists!$I$5:$I$20,0)),"")</f>
        <v>112</v>
      </c>
      <c r="L86" s="19">
        <f t="shared" si="8"/>
        <v>0</v>
      </c>
      <c r="M86" s="15">
        <f t="shared" si="9"/>
        <v>896</v>
      </c>
      <c r="N86" s="20">
        <f t="shared" si="10"/>
        <v>0</v>
      </c>
      <c r="O86" s="10" t="str">
        <f t="shared" si="11"/>
        <v>OK</v>
      </c>
    </row>
    <row r="87" spans="1:15" x14ac:dyDescent="0.25">
      <c r="A87" s="7" t="s">
        <v>495</v>
      </c>
      <c r="B87" s="7" t="s">
        <v>273</v>
      </c>
      <c r="C87" s="9">
        <v>46281</v>
      </c>
      <c r="D87" s="7" t="s">
        <v>74</v>
      </c>
      <c r="E87" s="11">
        <v>8</v>
      </c>
      <c r="F87" s="12">
        <v>130</v>
      </c>
      <c r="G87" s="16">
        <v>1040</v>
      </c>
      <c r="H87" s="10" t="str">
        <f t="shared" si="6"/>
        <v>E020|20260916|P104</v>
      </c>
      <c r="I87" s="17">
        <f>SUMIFS(Time_Entries!$J$5:$J$332,Time_Entries!$M$5:$M$332,H87,Time_Entries!$N$5:$N$332,"")</f>
        <v>8</v>
      </c>
      <c r="J87" s="18">
        <f t="shared" si="7"/>
        <v>0</v>
      </c>
      <c r="K87" s="13">
        <f>IFERROR(INDEX(Lists!$L$5:$L$20,MATCH(INDEX(Lists!$C$5:$C$34,MATCH(B87,Lists!$A$5:$A$34,0))&amp;"|"&amp;D87,Lists!$I$5:$I$20,0)),"")</f>
        <v>130</v>
      </c>
      <c r="L87" s="19">
        <f t="shared" si="8"/>
        <v>0</v>
      </c>
      <c r="M87" s="15">
        <f t="shared" si="9"/>
        <v>1040</v>
      </c>
      <c r="N87" s="20">
        <f t="shared" si="10"/>
        <v>0</v>
      </c>
      <c r="O87" s="10" t="str">
        <f t="shared" si="11"/>
        <v>OK</v>
      </c>
    </row>
    <row r="88" spans="1:15" x14ac:dyDescent="0.25">
      <c r="A88" s="7" t="s">
        <v>496</v>
      </c>
      <c r="B88" s="7" t="s">
        <v>284</v>
      </c>
      <c r="C88" s="9">
        <v>46281</v>
      </c>
      <c r="D88" s="7" t="s">
        <v>41</v>
      </c>
      <c r="E88" s="11">
        <v>8</v>
      </c>
      <c r="F88" s="12">
        <v>118</v>
      </c>
      <c r="G88" s="16">
        <v>944</v>
      </c>
      <c r="H88" s="10" t="str">
        <f t="shared" si="6"/>
        <v>E021|20260916|P101</v>
      </c>
      <c r="I88" s="17">
        <f>SUMIFS(Time_Entries!$J$5:$J$332,Time_Entries!$M$5:$M$332,H88,Time_Entries!$N$5:$N$332,"")</f>
        <v>8</v>
      </c>
      <c r="J88" s="18">
        <f t="shared" si="7"/>
        <v>0</v>
      </c>
      <c r="K88" s="13">
        <f>IFERROR(INDEX(Lists!$L$5:$L$20,MATCH(INDEX(Lists!$C$5:$C$34,MATCH(B88,Lists!$A$5:$A$34,0))&amp;"|"&amp;D88,Lists!$I$5:$I$20,0)),"")</f>
        <v>118</v>
      </c>
      <c r="L88" s="19">
        <f t="shared" si="8"/>
        <v>0</v>
      </c>
      <c r="M88" s="15">
        <f t="shared" si="9"/>
        <v>944</v>
      </c>
      <c r="N88" s="20">
        <f t="shared" si="10"/>
        <v>0</v>
      </c>
      <c r="O88" s="10" t="str">
        <f t="shared" si="11"/>
        <v>OK</v>
      </c>
    </row>
    <row r="89" spans="1:15" x14ac:dyDescent="0.25">
      <c r="A89" s="7" t="s">
        <v>497</v>
      </c>
      <c r="B89" s="7" t="s">
        <v>295</v>
      </c>
      <c r="C89" s="9">
        <v>46281</v>
      </c>
      <c r="D89" s="7" t="s">
        <v>46</v>
      </c>
      <c r="E89" s="11">
        <v>8</v>
      </c>
      <c r="F89" s="12">
        <v>124</v>
      </c>
      <c r="G89" s="16">
        <v>992</v>
      </c>
      <c r="H89" s="10" t="str">
        <f t="shared" si="6"/>
        <v>E022|20260916|P102</v>
      </c>
      <c r="I89" s="17">
        <f>SUMIFS(Time_Entries!$J$5:$J$332,Time_Entries!$M$5:$M$332,H89,Time_Entries!$N$5:$N$332,"")</f>
        <v>8</v>
      </c>
      <c r="J89" s="18">
        <f t="shared" si="7"/>
        <v>0</v>
      </c>
      <c r="K89" s="13">
        <f>IFERROR(INDEX(Lists!$L$5:$L$20,MATCH(INDEX(Lists!$C$5:$C$34,MATCH(B89,Lists!$A$5:$A$34,0))&amp;"|"&amp;D89,Lists!$I$5:$I$20,0)),"")</f>
        <v>124</v>
      </c>
      <c r="L89" s="19">
        <f t="shared" si="8"/>
        <v>0</v>
      </c>
      <c r="M89" s="15">
        <f t="shared" si="9"/>
        <v>992</v>
      </c>
      <c r="N89" s="20">
        <f t="shared" si="10"/>
        <v>0</v>
      </c>
      <c r="O89" s="10" t="str">
        <f t="shared" si="11"/>
        <v>OK</v>
      </c>
    </row>
    <row r="90" spans="1:15" x14ac:dyDescent="0.25">
      <c r="A90" s="7" t="s">
        <v>498</v>
      </c>
      <c r="B90" s="7" t="s">
        <v>307</v>
      </c>
      <c r="C90" s="9">
        <v>46281</v>
      </c>
      <c r="D90" s="7" t="s">
        <v>50</v>
      </c>
      <c r="E90" s="11">
        <v>6</v>
      </c>
      <c r="F90" s="12">
        <v>112</v>
      </c>
      <c r="G90" s="16">
        <v>672</v>
      </c>
      <c r="H90" s="10" t="str">
        <f t="shared" si="6"/>
        <v>E023|20260916|P103</v>
      </c>
      <c r="I90" s="17">
        <f>SUMIFS(Time_Entries!$J$5:$J$332,Time_Entries!$M$5:$M$332,H90,Time_Entries!$N$5:$N$332,"")</f>
        <v>8</v>
      </c>
      <c r="J90" s="18">
        <f t="shared" si="7"/>
        <v>-2</v>
      </c>
      <c r="K90" s="13">
        <f>IFERROR(INDEX(Lists!$L$5:$L$20,MATCH(INDEX(Lists!$C$5:$C$34,MATCH(B90,Lists!$A$5:$A$34,0))&amp;"|"&amp;D90,Lists!$I$5:$I$20,0)),"")</f>
        <v>112</v>
      </c>
      <c r="L90" s="19">
        <f t="shared" si="8"/>
        <v>0</v>
      </c>
      <c r="M90" s="15">
        <f t="shared" si="9"/>
        <v>896</v>
      </c>
      <c r="N90" s="20">
        <f t="shared" si="10"/>
        <v>-224</v>
      </c>
      <c r="O90" s="10" t="str">
        <f t="shared" si="11"/>
        <v>HOURS</v>
      </c>
    </row>
    <row r="91" spans="1:15" x14ac:dyDescent="0.25">
      <c r="A91" s="7" t="s">
        <v>499</v>
      </c>
      <c r="B91" s="7" t="s">
        <v>317</v>
      </c>
      <c r="C91" s="9">
        <v>46281</v>
      </c>
      <c r="D91" s="7" t="s">
        <v>74</v>
      </c>
      <c r="E91" s="11">
        <v>8</v>
      </c>
      <c r="F91" s="12">
        <v>130</v>
      </c>
      <c r="G91" s="16">
        <v>1040</v>
      </c>
      <c r="H91" s="10" t="str">
        <f t="shared" si="6"/>
        <v>E024|20260916|P104</v>
      </c>
      <c r="I91" s="17">
        <f>SUMIFS(Time_Entries!$J$5:$J$332,Time_Entries!$M$5:$M$332,H91,Time_Entries!$N$5:$N$332,"")</f>
        <v>8</v>
      </c>
      <c r="J91" s="18">
        <f t="shared" si="7"/>
        <v>0</v>
      </c>
      <c r="K91" s="13">
        <f>IFERROR(INDEX(Lists!$L$5:$L$20,MATCH(INDEX(Lists!$C$5:$C$34,MATCH(B91,Lists!$A$5:$A$34,0))&amp;"|"&amp;D91,Lists!$I$5:$I$20,0)),"")</f>
        <v>130</v>
      </c>
      <c r="L91" s="19">
        <f t="shared" si="8"/>
        <v>0</v>
      </c>
      <c r="M91" s="15">
        <f t="shared" si="9"/>
        <v>1040</v>
      </c>
      <c r="N91" s="20">
        <f t="shared" si="10"/>
        <v>0</v>
      </c>
      <c r="O91" s="10" t="str">
        <f t="shared" si="11"/>
        <v>OK</v>
      </c>
    </row>
    <row r="92" spans="1:15" x14ac:dyDescent="0.25">
      <c r="A92" s="7" t="s">
        <v>500</v>
      </c>
      <c r="B92" s="7" t="s">
        <v>329</v>
      </c>
      <c r="C92" s="9">
        <v>46281</v>
      </c>
      <c r="D92" s="7" t="s">
        <v>41</v>
      </c>
      <c r="E92" s="11">
        <v>8</v>
      </c>
      <c r="F92" s="12">
        <v>98</v>
      </c>
      <c r="G92" s="16">
        <v>784</v>
      </c>
      <c r="H92" s="10" t="str">
        <f t="shared" si="6"/>
        <v>E025|20260916|P101</v>
      </c>
      <c r="I92" s="17">
        <f>SUMIFS(Time_Entries!$J$5:$J$332,Time_Entries!$M$5:$M$332,H92,Time_Entries!$N$5:$N$332,"")</f>
        <v>8</v>
      </c>
      <c r="J92" s="18">
        <f t="shared" si="7"/>
        <v>0</v>
      </c>
      <c r="K92" s="13">
        <f>IFERROR(INDEX(Lists!$L$5:$L$20,MATCH(INDEX(Lists!$C$5:$C$34,MATCH(B92,Lists!$A$5:$A$34,0))&amp;"|"&amp;D92,Lists!$I$5:$I$20,0)),"")</f>
        <v>98</v>
      </c>
      <c r="L92" s="19">
        <f t="shared" si="8"/>
        <v>0</v>
      </c>
      <c r="M92" s="15">
        <f t="shared" si="9"/>
        <v>784</v>
      </c>
      <c r="N92" s="20">
        <f t="shared" si="10"/>
        <v>0</v>
      </c>
      <c r="O92" s="10" t="str">
        <f t="shared" si="11"/>
        <v>OK</v>
      </c>
    </row>
    <row r="93" spans="1:15" x14ac:dyDescent="0.25">
      <c r="A93" s="7" t="s">
        <v>501</v>
      </c>
      <c r="B93" s="7" t="s">
        <v>342</v>
      </c>
      <c r="C93" s="9">
        <v>46281</v>
      </c>
      <c r="D93" s="7" t="s">
        <v>46</v>
      </c>
      <c r="E93" s="11">
        <v>8</v>
      </c>
      <c r="F93" s="12">
        <v>103</v>
      </c>
      <c r="G93" s="16">
        <v>824</v>
      </c>
      <c r="H93" s="10" t="str">
        <f t="shared" si="6"/>
        <v>E026|20260916|P102</v>
      </c>
      <c r="I93" s="17">
        <f>SUMIFS(Time_Entries!$J$5:$J$332,Time_Entries!$M$5:$M$332,H93,Time_Entries!$N$5:$N$332,"")</f>
        <v>8</v>
      </c>
      <c r="J93" s="18">
        <f t="shared" si="7"/>
        <v>0</v>
      </c>
      <c r="K93" s="13">
        <f>IFERROR(INDEX(Lists!$L$5:$L$20,MATCH(INDEX(Lists!$C$5:$C$34,MATCH(B93,Lists!$A$5:$A$34,0))&amp;"|"&amp;D93,Lists!$I$5:$I$20,0)),"")</f>
        <v>103</v>
      </c>
      <c r="L93" s="19">
        <f t="shared" si="8"/>
        <v>0</v>
      </c>
      <c r="M93" s="15">
        <f t="shared" si="9"/>
        <v>824</v>
      </c>
      <c r="N93" s="20">
        <f t="shared" si="10"/>
        <v>0</v>
      </c>
      <c r="O93" s="10" t="str">
        <f t="shared" si="11"/>
        <v>OK</v>
      </c>
    </row>
    <row r="94" spans="1:15" x14ac:dyDescent="0.25">
      <c r="A94" s="7" t="s">
        <v>502</v>
      </c>
      <c r="B94" s="7" t="s">
        <v>352</v>
      </c>
      <c r="C94" s="9">
        <v>46281</v>
      </c>
      <c r="D94" s="7" t="s">
        <v>50</v>
      </c>
      <c r="E94" s="11">
        <v>8</v>
      </c>
      <c r="F94" s="12">
        <v>93</v>
      </c>
      <c r="G94" s="16">
        <v>744</v>
      </c>
      <c r="H94" s="10" t="str">
        <f t="shared" si="6"/>
        <v>E027|20260916|P103</v>
      </c>
      <c r="I94" s="17">
        <f>SUMIFS(Time_Entries!$J$5:$J$332,Time_Entries!$M$5:$M$332,H94,Time_Entries!$N$5:$N$332,"")</f>
        <v>8</v>
      </c>
      <c r="J94" s="18">
        <f t="shared" si="7"/>
        <v>0</v>
      </c>
      <c r="K94" s="13">
        <f>IFERROR(INDEX(Lists!$L$5:$L$20,MATCH(INDEX(Lists!$C$5:$C$34,MATCH(B94,Lists!$A$5:$A$34,0))&amp;"|"&amp;D94,Lists!$I$5:$I$20,0)),"")</f>
        <v>93</v>
      </c>
      <c r="L94" s="19">
        <f t="shared" si="8"/>
        <v>0</v>
      </c>
      <c r="M94" s="15">
        <f t="shared" si="9"/>
        <v>744</v>
      </c>
      <c r="N94" s="20">
        <f t="shared" si="10"/>
        <v>0</v>
      </c>
      <c r="O94" s="10" t="str">
        <f t="shared" si="11"/>
        <v>OK</v>
      </c>
    </row>
    <row r="95" spans="1:15" x14ac:dyDescent="0.25">
      <c r="A95" s="7" t="s">
        <v>503</v>
      </c>
      <c r="B95" s="7" t="s">
        <v>363</v>
      </c>
      <c r="C95" s="9">
        <v>46281</v>
      </c>
      <c r="D95" s="7" t="s">
        <v>74</v>
      </c>
      <c r="E95" s="11">
        <v>8</v>
      </c>
      <c r="F95" s="12">
        <v>108</v>
      </c>
      <c r="G95" s="16">
        <v>864</v>
      </c>
      <c r="H95" s="10" t="str">
        <f t="shared" si="6"/>
        <v>E028|20260916|P104</v>
      </c>
      <c r="I95" s="17">
        <f>SUMIFS(Time_Entries!$J$5:$J$332,Time_Entries!$M$5:$M$332,H95,Time_Entries!$N$5:$N$332,"")</f>
        <v>8</v>
      </c>
      <c r="J95" s="18">
        <f t="shared" si="7"/>
        <v>0</v>
      </c>
      <c r="K95" s="13">
        <f>IFERROR(INDEX(Lists!$L$5:$L$20,MATCH(INDEX(Lists!$C$5:$C$34,MATCH(B95,Lists!$A$5:$A$34,0))&amp;"|"&amp;D95,Lists!$I$5:$I$20,0)),"")</f>
        <v>108</v>
      </c>
      <c r="L95" s="19">
        <f t="shared" si="8"/>
        <v>0</v>
      </c>
      <c r="M95" s="15">
        <f t="shared" si="9"/>
        <v>864</v>
      </c>
      <c r="N95" s="20">
        <f t="shared" si="10"/>
        <v>0</v>
      </c>
      <c r="O95" s="10" t="str">
        <f t="shared" si="11"/>
        <v>OK</v>
      </c>
    </row>
    <row r="96" spans="1:15" x14ac:dyDescent="0.25">
      <c r="A96" s="7" t="s">
        <v>504</v>
      </c>
      <c r="B96" s="7" t="s">
        <v>375</v>
      </c>
      <c r="C96" s="9">
        <v>46281</v>
      </c>
      <c r="D96" s="7" t="s">
        <v>41</v>
      </c>
      <c r="E96" s="11">
        <v>8</v>
      </c>
      <c r="F96" s="12">
        <v>98</v>
      </c>
      <c r="G96" s="16">
        <v>784</v>
      </c>
      <c r="H96" s="10" t="str">
        <f t="shared" si="6"/>
        <v>E029|20260916|P101</v>
      </c>
      <c r="I96" s="17">
        <f>SUMIFS(Time_Entries!$J$5:$J$332,Time_Entries!$M$5:$M$332,H96,Time_Entries!$N$5:$N$332,"")</f>
        <v>8</v>
      </c>
      <c r="J96" s="18">
        <f t="shared" si="7"/>
        <v>0</v>
      </c>
      <c r="K96" s="13">
        <f>IFERROR(INDEX(Lists!$L$5:$L$20,MATCH(INDEX(Lists!$C$5:$C$34,MATCH(B96,Lists!$A$5:$A$34,0))&amp;"|"&amp;D96,Lists!$I$5:$I$20,0)),"")</f>
        <v>98</v>
      </c>
      <c r="L96" s="19">
        <f t="shared" si="8"/>
        <v>0</v>
      </c>
      <c r="M96" s="15">
        <f t="shared" si="9"/>
        <v>784</v>
      </c>
      <c r="N96" s="20">
        <f t="shared" si="10"/>
        <v>0</v>
      </c>
      <c r="O96" s="10" t="str">
        <f t="shared" si="11"/>
        <v>OK</v>
      </c>
    </row>
    <row r="97" spans="1:15" x14ac:dyDescent="0.25">
      <c r="A97" s="7" t="s">
        <v>505</v>
      </c>
      <c r="B97" s="7" t="s">
        <v>385</v>
      </c>
      <c r="C97" s="9">
        <v>46281</v>
      </c>
      <c r="D97" s="7" t="s">
        <v>46</v>
      </c>
      <c r="E97" s="11">
        <v>8</v>
      </c>
      <c r="F97" s="12">
        <v>103</v>
      </c>
      <c r="G97" s="16">
        <v>824</v>
      </c>
      <c r="H97" s="10" t="str">
        <f t="shared" si="6"/>
        <v>E030|20260916|P102</v>
      </c>
      <c r="I97" s="17">
        <f>SUMIFS(Time_Entries!$J$5:$J$332,Time_Entries!$M$5:$M$332,H97,Time_Entries!$N$5:$N$332,"")</f>
        <v>8</v>
      </c>
      <c r="J97" s="18">
        <f t="shared" si="7"/>
        <v>0</v>
      </c>
      <c r="K97" s="13">
        <f>IFERROR(INDEX(Lists!$L$5:$L$20,MATCH(INDEX(Lists!$C$5:$C$34,MATCH(B97,Lists!$A$5:$A$34,0))&amp;"|"&amp;D97,Lists!$I$5:$I$20,0)),"")</f>
        <v>103</v>
      </c>
      <c r="L97" s="19">
        <f t="shared" si="8"/>
        <v>0</v>
      </c>
      <c r="M97" s="15">
        <f t="shared" si="9"/>
        <v>824</v>
      </c>
      <c r="N97" s="20">
        <f t="shared" si="10"/>
        <v>0</v>
      </c>
      <c r="O97" s="10" t="str">
        <f t="shared" si="11"/>
        <v>OK</v>
      </c>
    </row>
    <row r="98" spans="1:15" x14ac:dyDescent="0.25">
      <c r="A98" s="7" t="s">
        <v>506</v>
      </c>
      <c r="B98" s="7" t="s">
        <v>40</v>
      </c>
      <c r="C98" s="9">
        <v>46282</v>
      </c>
      <c r="D98" s="7" t="s">
        <v>41</v>
      </c>
      <c r="E98" s="11">
        <v>4</v>
      </c>
      <c r="F98" s="12">
        <v>78</v>
      </c>
      <c r="G98" s="16">
        <v>312</v>
      </c>
      <c r="H98" s="10" t="str">
        <f t="shared" si="6"/>
        <v>E001|20260917|P101</v>
      </c>
      <c r="I98" s="17">
        <f>SUMIFS(Time_Entries!$J$5:$J$332,Time_Entries!$M$5:$M$332,H98,Time_Entries!$N$5:$N$332,"")</f>
        <v>4</v>
      </c>
      <c r="J98" s="18">
        <f t="shared" si="7"/>
        <v>0</v>
      </c>
      <c r="K98" s="13">
        <f>IFERROR(INDEX(Lists!$L$5:$L$20,MATCH(INDEX(Lists!$C$5:$C$34,MATCH(B98,Lists!$A$5:$A$34,0))&amp;"|"&amp;D98,Lists!$I$5:$I$20,0)),"")</f>
        <v>78</v>
      </c>
      <c r="L98" s="19">
        <f t="shared" si="8"/>
        <v>0</v>
      </c>
      <c r="M98" s="15">
        <f t="shared" si="9"/>
        <v>312</v>
      </c>
      <c r="N98" s="20">
        <f t="shared" si="10"/>
        <v>0</v>
      </c>
      <c r="O98" s="10" t="str">
        <f t="shared" si="11"/>
        <v>OK</v>
      </c>
    </row>
    <row r="99" spans="1:15" x14ac:dyDescent="0.25">
      <c r="A99" s="7" t="s">
        <v>507</v>
      </c>
      <c r="B99" s="7" t="s">
        <v>40</v>
      </c>
      <c r="C99" s="9">
        <v>46282</v>
      </c>
      <c r="D99" s="7" t="s">
        <v>46</v>
      </c>
      <c r="E99" s="11">
        <v>4</v>
      </c>
      <c r="F99" s="12">
        <v>82</v>
      </c>
      <c r="G99" s="16">
        <v>328</v>
      </c>
      <c r="H99" s="10" t="str">
        <f t="shared" si="6"/>
        <v>E001|20260917|P102</v>
      </c>
      <c r="I99" s="17">
        <f>SUMIFS(Time_Entries!$J$5:$J$332,Time_Entries!$M$5:$M$332,H99,Time_Entries!$N$5:$N$332,"")</f>
        <v>4</v>
      </c>
      <c r="J99" s="18">
        <f t="shared" si="7"/>
        <v>0</v>
      </c>
      <c r="K99" s="13">
        <f>IFERROR(INDEX(Lists!$L$5:$L$20,MATCH(INDEX(Lists!$C$5:$C$34,MATCH(B99,Lists!$A$5:$A$34,0))&amp;"|"&amp;D99,Lists!$I$5:$I$20,0)),"")</f>
        <v>82</v>
      </c>
      <c r="L99" s="19">
        <f t="shared" si="8"/>
        <v>0</v>
      </c>
      <c r="M99" s="15">
        <f t="shared" si="9"/>
        <v>328</v>
      </c>
      <c r="N99" s="20">
        <f t="shared" si="10"/>
        <v>0</v>
      </c>
      <c r="O99" s="10" t="str">
        <f t="shared" si="11"/>
        <v>OK</v>
      </c>
    </row>
    <row r="100" spans="1:15" x14ac:dyDescent="0.25">
      <c r="A100" s="7" t="s">
        <v>508</v>
      </c>
      <c r="B100" s="7" t="s">
        <v>58</v>
      </c>
      <c r="C100" s="9">
        <v>46282</v>
      </c>
      <c r="D100" s="7" t="s">
        <v>46</v>
      </c>
      <c r="E100" s="11">
        <v>8</v>
      </c>
      <c r="F100" s="12">
        <v>82</v>
      </c>
      <c r="G100" s="16">
        <v>656</v>
      </c>
      <c r="H100" s="10" t="str">
        <f t="shared" si="6"/>
        <v>E002|20260917|P102</v>
      </c>
      <c r="I100" s="17">
        <f>SUMIFS(Time_Entries!$J$5:$J$332,Time_Entries!$M$5:$M$332,H100,Time_Entries!$N$5:$N$332,"")</f>
        <v>8</v>
      </c>
      <c r="J100" s="18">
        <f t="shared" si="7"/>
        <v>0</v>
      </c>
      <c r="K100" s="13">
        <f>IFERROR(INDEX(Lists!$L$5:$L$20,MATCH(INDEX(Lists!$C$5:$C$34,MATCH(B100,Lists!$A$5:$A$34,0))&amp;"|"&amp;D100,Lists!$I$5:$I$20,0)),"")</f>
        <v>82</v>
      </c>
      <c r="L100" s="19">
        <f t="shared" si="8"/>
        <v>0</v>
      </c>
      <c r="M100" s="15">
        <f t="shared" si="9"/>
        <v>656</v>
      </c>
      <c r="N100" s="20">
        <f t="shared" si="10"/>
        <v>0</v>
      </c>
      <c r="O100" s="10" t="str">
        <f t="shared" si="11"/>
        <v>OK</v>
      </c>
    </row>
    <row r="101" spans="1:15" x14ac:dyDescent="0.25">
      <c r="A101" s="7" t="s">
        <v>509</v>
      </c>
      <c r="B101" s="7" t="s">
        <v>72</v>
      </c>
      <c r="C101" s="9">
        <v>46282</v>
      </c>
      <c r="D101" s="7" t="s">
        <v>46</v>
      </c>
      <c r="E101" s="11">
        <v>4</v>
      </c>
      <c r="F101" s="12">
        <v>82</v>
      </c>
      <c r="G101" s="16">
        <v>328</v>
      </c>
      <c r="H101" s="10" t="str">
        <f t="shared" si="6"/>
        <v>E003|20260917|P102</v>
      </c>
      <c r="I101" s="17">
        <f>SUMIFS(Time_Entries!$J$5:$J$332,Time_Entries!$M$5:$M$332,H101,Time_Entries!$N$5:$N$332,"")</f>
        <v>4</v>
      </c>
      <c r="J101" s="18">
        <f t="shared" si="7"/>
        <v>0</v>
      </c>
      <c r="K101" s="13">
        <f>IFERROR(INDEX(Lists!$L$5:$L$20,MATCH(INDEX(Lists!$C$5:$C$34,MATCH(B101,Lists!$A$5:$A$34,0))&amp;"|"&amp;D101,Lists!$I$5:$I$20,0)),"")</f>
        <v>82</v>
      </c>
      <c r="L101" s="19">
        <f t="shared" si="8"/>
        <v>0</v>
      </c>
      <c r="M101" s="15">
        <f t="shared" si="9"/>
        <v>328</v>
      </c>
      <c r="N101" s="20">
        <f t="shared" si="10"/>
        <v>0</v>
      </c>
      <c r="O101" s="10" t="str">
        <f t="shared" si="11"/>
        <v>OK</v>
      </c>
    </row>
    <row r="102" spans="1:15" x14ac:dyDescent="0.25">
      <c r="A102" s="7" t="s">
        <v>510</v>
      </c>
      <c r="B102" s="7" t="s">
        <v>72</v>
      </c>
      <c r="C102" s="9">
        <v>46282</v>
      </c>
      <c r="D102" s="7" t="s">
        <v>50</v>
      </c>
      <c r="E102" s="11">
        <v>4</v>
      </c>
      <c r="F102" s="12">
        <v>74</v>
      </c>
      <c r="G102" s="16">
        <v>296</v>
      </c>
      <c r="H102" s="10" t="str">
        <f t="shared" si="6"/>
        <v>E003|20260917|P103</v>
      </c>
      <c r="I102" s="17">
        <f>SUMIFS(Time_Entries!$J$5:$J$332,Time_Entries!$M$5:$M$332,H102,Time_Entries!$N$5:$N$332,"")</f>
        <v>4</v>
      </c>
      <c r="J102" s="18">
        <f t="shared" si="7"/>
        <v>0</v>
      </c>
      <c r="K102" s="13">
        <f>IFERROR(INDEX(Lists!$L$5:$L$20,MATCH(INDEX(Lists!$C$5:$C$34,MATCH(B102,Lists!$A$5:$A$34,0))&amp;"|"&amp;D102,Lists!$I$5:$I$20,0)),"")</f>
        <v>74</v>
      </c>
      <c r="L102" s="19">
        <f t="shared" si="8"/>
        <v>0</v>
      </c>
      <c r="M102" s="15">
        <f t="shared" si="9"/>
        <v>296</v>
      </c>
      <c r="N102" s="20">
        <f t="shared" si="10"/>
        <v>0</v>
      </c>
      <c r="O102" s="10" t="str">
        <f t="shared" si="11"/>
        <v>OK</v>
      </c>
    </row>
    <row r="103" spans="1:15" x14ac:dyDescent="0.25">
      <c r="A103" s="7" t="s">
        <v>511</v>
      </c>
      <c r="B103" s="7" t="s">
        <v>87</v>
      </c>
      <c r="C103" s="9">
        <v>46282</v>
      </c>
      <c r="D103" s="7" t="s">
        <v>74</v>
      </c>
      <c r="E103" s="11">
        <v>8</v>
      </c>
      <c r="F103" s="12">
        <v>86</v>
      </c>
      <c r="G103" s="16">
        <v>688</v>
      </c>
      <c r="H103" s="10" t="str">
        <f t="shared" si="6"/>
        <v>E004|20260917|P104</v>
      </c>
      <c r="I103" s="17">
        <f>SUMIFS(Time_Entries!$J$5:$J$332,Time_Entries!$M$5:$M$332,H103,Time_Entries!$N$5:$N$332,"")</f>
        <v>8</v>
      </c>
      <c r="J103" s="18">
        <f t="shared" si="7"/>
        <v>0</v>
      </c>
      <c r="K103" s="13">
        <f>IFERROR(INDEX(Lists!$L$5:$L$20,MATCH(INDEX(Lists!$C$5:$C$34,MATCH(B103,Lists!$A$5:$A$34,0))&amp;"|"&amp;D103,Lists!$I$5:$I$20,0)),"")</f>
        <v>86</v>
      </c>
      <c r="L103" s="19">
        <f t="shared" si="8"/>
        <v>0</v>
      </c>
      <c r="M103" s="15">
        <f t="shared" si="9"/>
        <v>688</v>
      </c>
      <c r="N103" s="20">
        <f t="shared" si="10"/>
        <v>0</v>
      </c>
      <c r="O103" s="10" t="str">
        <f t="shared" si="11"/>
        <v>OK</v>
      </c>
    </row>
    <row r="104" spans="1:15" x14ac:dyDescent="0.25">
      <c r="A104" s="7" t="s">
        <v>512</v>
      </c>
      <c r="B104" s="7" t="s">
        <v>99</v>
      </c>
      <c r="C104" s="9">
        <v>46282</v>
      </c>
      <c r="D104" s="7" t="s">
        <v>41</v>
      </c>
      <c r="E104" s="11">
        <v>8</v>
      </c>
      <c r="F104" s="12">
        <v>78</v>
      </c>
      <c r="G104" s="16">
        <v>624</v>
      </c>
      <c r="H104" s="10" t="str">
        <f t="shared" si="6"/>
        <v>E005|20260917|P101</v>
      </c>
      <c r="I104" s="17">
        <f>SUMIFS(Time_Entries!$J$5:$J$332,Time_Entries!$M$5:$M$332,H104,Time_Entries!$N$5:$N$332,"")</f>
        <v>8</v>
      </c>
      <c r="J104" s="18">
        <f t="shared" si="7"/>
        <v>0</v>
      </c>
      <c r="K104" s="13">
        <f>IFERROR(INDEX(Lists!$L$5:$L$20,MATCH(INDEX(Lists!$C$5:$C$34,MATCH(B104,Lists!$A$5:$A$34,0))&amp;"|"&amp;D104,Lists!$I$5:$I$20,0)),"")</f>
        <v>78</v>
      </c>
      <c r="L104" s="19">
        <f t="shared" si="8"/>
        <v>0</v>
      </c>
      <c r="M104" s="15">
        <f t="shared" si="9"/>
        <v>624</v>
      </c>
      <c r="N104" s="20">
        <f t="shared" si="10"/>
        <v>0</v>
      </c>
      <c r="O104" s="10" t="str">
        <f t="shared" si="11"/>
        <v>OK</v>
      </c>
    </row>
    <row r="105" spans="1:15" x14ac:dyDescent="0.25">
      <c r="A105" s="7" t="s">
        <v>513</v>
      </c>
      <c r="B105" s="7" t="s">
        <v>110</v>
      </c>
      <c r="C105" s="9">
        <v>46282</v>
      </c>
      <c r="D105" s="7" t="s">
        <v>46</v>
      </c>
      <c r="E105" s="11">
        <v>8</v>
      </c>
      <c r="F105" s="12">
        <v>82</v>
      </c>
      <c r="G105" s="16">
        <v>656</v>
      </c>
      <c r="H105" s="10" t="str">
        <f t="shared" si="6"/>
        <v>E006|20260917|P102</v>
      </c>
      <c r="I105" s="17">
        <f>SUMIFS(Time_Entries!$J$5:$J$332,Time_Entries!$M$5:$M$332,H105,Time_Entries!$N$5:$N$332,"")</f>
        <v>8</v>
      </c>
      <c r="J105" s="18">
        <f t="shared" si="7"/>
        <v>0</v>
      </c>
      <c r="K105" s="13">
        <f>IFERROR(INDEX(Lists!$L$5:$L$20,MATCH(INDEX(Lists!$C$5:$C$34,MATCH(B105,Lists!$A$5:$A$34,0))&amp;"|"&amp;D105,Lists!$I$5:$I$20,0)),"")</f>
        <v>82</v>
      </c>
      <c r="L105" s="19">
        <f t="shared" si="8"/>
        <v>0</v>
      </c>
      <c r="M105" s="15">
        <f t="shared" si="9"/>
        <v>656</v>
      </c>
      <c r="N105" s="20">
        <f t="shared" si="10"/>
        <v>0</v>
      </c>
      <c r="O105" s="10" t="str">
        <f t="shared" si="11"/>
        <v>OK</v>
      </c>
    </row>
    <row r="106" spans="1:15" x14ac:dyDescent="0.25">
      <c r="A106" s="7" t="s">
        <v>514</v>
      </c>
      <c r="B106" s="7" t="s">
        <v>124</v>
      </c>
      <c r="C106" s="9">
        <v>46282</v>
      </c>
      <c r="D106" s="7" t="s">
        <v>50</v>
      </c>
      <c r="E106" s="11">
        <v>8</v>
      </c>
      <c r="F106" s="12">
        <v>74</v>
      </c>
      <c r="G106" s="16">
        <v>592</v>
      </c>
      <c r="H106" s="10" t="str">
        <f t="shared" si="6"/>
        <v>E007|20260917|P103</v>
      </c>
      <c r="I106" s="17">
        <f>SUMIFS(Time_Entries!$J$5:$J$332,Time_Entries!$M$5:$M$332,H106,Time_Entries!$N$5:$N$332,"")</f>
        <v>80</v>
      </c>
      <c r="J106" s="18">
        <f t="shared" si="7"/>
        <v>-72</v>
      </c>
      <c r="K106" s="13">
        <f>IFERROR(INDEX(Lists!$L$5:$L$20,MATCH(INDEX(Lists!$C$5:$C$34,MATCH(B106,Lists!$A$5:$A$34,0))&amp;"|"&amp;D106,Lists!$I$5:$I$20,0)),"")</f>
        <v>74</v>
      </c>
      <c r="L106" s="19">
        <f t="shared" si="8"/>
        <v>0</v>
      </c>
      <c r="M106" s="15">
        <f t="shared" si="9"/>
        <v>5920</v>
      </c>
      <c r="N106" s="20">
        <f t="shared" si="10"/>
        <v>-5328</v>
      </c>
      <c r="O106" s="10" t="str">
        <f t="shared" si="11"/>
        <v>HOURS</v>
      </c>
    </row>
    <row r="107" spans="1:15" x14ac:dyDescent="0.25">
      <c r="A107" s="7" t="s">
        <v>515</v>
      </c>
      <c r="B107" s="7" t="s">
        <v>136</v>
      </c>
      <c r="C107" s="9">
        <v>46282</v>
      </c>
      <c r="D107" s="7" t="s">
        <v>74</v>
      </c>
      <c r="E107" s="11">
        <v>8</v>
      </c>
      <c r="F107" s="12">
        <v>86</v>
      </c>
      <c r="G107" s="16">
        <v>688</v>
      </c>
      <c r="H107" s="10" t="str">
        <f t="shared" si="6"/>
        <v>E008|20260917|P104</v>
      </c>
      <c r="I107" s="17">
        <f>SUMIFS(Time_Entries!$J$5:$J$332,Time_Entries!$M$5:$M$332,H107,Time_Entries!$N$5:$N$332,"")</f>
        <v>8</v>
      </c>
      <c r="J107" s="18">
        <f t="shared" si="7"/>
        <v>0</v>
      </c>
      <c r="K107" s="13">
        <f>IFERROR(INDEX(Lists!$L$5:$L$20,MATCH(INDEX(Lists!$C$5:$C$34,MATCH(B107,Lists!$A$5:$A$34,0))&amp;"|"&amp;D107,Lists!$I$5:$I$20,0)),"")</f>
        <v>86</v>
      </c>
      <c r="L107" s="19">
        <f t="shared" si="8"/>
        <v>0</v>
      </c>
      <c r="M107" s="15">
        <f t="shared" si="9"/>
        <v>688</v>
      </c>
      <c r="N107" s="20">
        <f t="shared" si="10"/>
        <v>0</v>
      </c>
      <c r="O107" s="10" t="str">
        <f t="shared" si="11"/>
        <v>OK</v>
      </c>
    </row>
    <row r="108" spans="1:15" x14ac:dyDescent="0.25">
      <c r="A108" s="7" t="s">
        <v>516</v>
      </c>
      <c r="B108" s="7" t="s">
        <v>147</v>
      </c>
      <c r="C108" s="9">
        <v>46282</v>
      </c>
      <c r="D108" s="7" t="s">
        <v>41</v>
      </c>
      <c r="E108" s="11">
        <v>8</v>
      </c>
      <c r="F108" s="12">
        <v>78</v>
      </c>
      <c r="G108" s="16">
        <v>624</v>
      </c>
      <c r="H108" s="10" t="str">
        <f t="shared" si="6"/>
        <v>E009|20260917|P101</v>
      </c>
      <c r="I108" s="17">
        <f>SUMIFS(Time_Entries!$J$5:$J$332,Time_Entries!$M$5:$M$332,H108,Time_Entries!$N$5:$N$332,"")</f>
        <v>8</v>
      </c>
      <c r="J108" s="18">
        <f t="shared" si="7"/>
        <v>0</v>
      </c>
      <c r="K108" s="13">
        <f>IFERROR(INDEX(Lists!$L$5:$L$20,MATCH(INDEX(Lists!$C$5:$C$34,MATCH(B108,Lists!$A$5:$A$34,0))&amp;"|"&amp;D108,Lists!$I$5:$I$20,0)),"")</f>
        <v>78</v>
      </c>
      <c r="L108" s="19">
        <f t="shared" si="8"/>
        <v>0</v>
      </c>
      <c r="M108" s="15">
        <f t="shared" si="9"/>
        <v>624</v>
      </c>
      <c r="N108" s="20">
        <f t="shared" si="10"/>
        <v>0</v>
      </c>
      <c r="O108" s="10" t="str">
        <f t="shared" si="11"/>
        <v>OK</v>
      </c>
    </row>
    <row r="109" spans="1:15" x14ac:dyDescent="0.25">
      <c r="A109" s="7" t="s">
        <v>517</v>
      </c>
      <c r="B109" s="7" t="s">
        <v>158</v>
      </c>
      <c r="C109" s="9">
        <v>46282</v>
      </c>
      <c r="D109" s="7" t="s">
        <v>46</v>
      </c>
      <c r="E109" s="11">
        <v>8</v>
      </c>
      <c r="F109" s="12">
        <v>110</v>
      </c>
      <c r="G109" s="16">
        <v>880</v>
      </c>
      <c r="H109" s="10" t="str">
        <f t="shared" si="6"/>
        <v>E010|20260917|P102</v>
      </c>
      <c r="I109" s="17">
        <f>SUMIFS(Time_Entries!$J$5:$J$332,Time_Entries!$M$5:$M$332,H109,Time_Entries!$N$5:$N$332,"")</f>
        <v>8</v>
      </c>
      <c r="J109" s="18">
        <f t="shared" si="7"/>
        <v>0</v>
      </c>
      <c r="K109" s="13">
        <f>IFERROR(INDEX(Lists!$L$5:$L$20,MATCH(INDEX(Lists!$C$5:$C$34,MATCH(B109,Lists!$A$5:$A$34,0))&amp;"|"&amp;D109,Lists!$I$5:$I$20,0)),"")</f>
        <v>110</v>
      </c>
      <c r="L109" s="19">
        <f t="shared" si="8"/>
        <v>0</v>
      </c>
      <c r="M109" s="15">
        <f t="shared" si="9"/>
        <v>880</v>
      </c>
      <c r="N109" s="20">
        <f t="shared" si="10"/>
        <v>0</v>
      </c>
      <c r="O109" s="10" t="str">
        <f t="shared" si="11"/>
        <v>OK</v>
      </c>
    </row>
    <row r="110" spans="1:15" x14ac:dyDescent="0.25">
      <c r="A110" s="7" t="s">
        <v>518</v>
      </c>
      <c r="B110" s="7" t="s">
        <v>170</v>
      </c>
      <c r="C110" s="9">
        <v>46282</v>
      </c>
      <c r="D110" s="7" t="s">
        <v>50</v>
      </c>
      <c r="E110" s="11">
        <v>8</v>
      </c>
      <c r="F110" s="12">
        <v>100</v>
      </c>
      <c r="G110" s="16">
        <v>800</v>
      </c>
      <c r="H110" s="10" t="str">
        <f t="shared" si="6"/>
        <v>E011|20260917|P103</v>
      </c>
      <c r="I110" s="17">
        <f>SUMIFS(Time_Entries!$J$5:$J$332,Time_Entries!$M$5:$M$332,H110,Time_Entries!$N$5:$N$332,"")</f>
        <v>8</v>
      </c>
      <c r="J110" s="18">
        <f t="shared" si="7"/>
        <v>0</v>
      </c>
      <c r="K110" s="13">
        <f>IFERROR(INDEX(Lists!$L$5:$L$20,MATCH(INDEX(Lists!$C$5:$C$34,MATCH(B110,Lists!$A$5:$A$34,0))&amp;"|"&amp;D110,Lists!$I$5:$I$20,0)),"")</f>
        <v>100</v>
      </c>
      <c r="L110" s="19">
        <f t="shared" si="8"/>
        <v>0</v>
      </c>
      <c r="M110" s="15">
        <f t="shared" si="9"/>
        <v>800</v>
      </c>
      <c r="N110" s="20">
        <f t="shared" si="10"/>
        <v>0</v>
      </c>
      <c r="O110" s="10" t="str">
        <f t="shared" si="11"/>
        <v>OK</v>
      </c>
    </row>
    <row r="111" spans="1:15" x14ac:dyDescent="0.25">
      <c r="A111" s="7" t="s">
        <v>519</v>
      </c>
      <c r="B111" s="7" t="s">
        <v>180</v>
      </c>
      <c r="C111" s="9">
        <v>46282</v>
      </c>
      <c r="D111" s="7" t="s">
        <v>74</v>
      </c>
      <c r="E111" s="11">
        <v>8</v>
      </c>
      <c r="F111" s="12">
        <v>116</v>
      </c>
      <c r="G111" s="16">
        <v>928</v>
      </c>
      <c r="H111" s="10" t="str">
        <f t="shared" si="6"/>
        <v>E012|20260917|P104</v>
      </c>
      <c r="I111" s="17">
        <f>SUMIFS(Time_Entries!$J$5:$J$332,Time_Entries!$M$5:$M$332,H111,Time_Entries!$N$5:$N$332,"")</f>
        <v>8</v>
      </c>
      <c r="J111" s="18">
        <f t="shared" si="7"/>
        <v>0</v>
      </c>
      <c r="K111" s="13">
        <f>IFERROR(INDEX(Lists!$L$5:$L$20,MATCH(INDEX(Lists!$C$5:$C$34,MATCH(B111,Lists!$A$5:$A$34,0))&amp;"|"&amp;D111,Lists!$I$5:$I$20,0)),"")</f>
        <v>116</v>
      </c>
      <c r="L111" s="19">
        <f t="shared" si="8"/>
        <v>0</v>
      </c>
      <c r="M111" s="15">
        <f t="shared" si="9"/>
        <v>928</v>
      </c>
      <c r="N111" s="20">
        <f t="shared" si="10"/>
        <v>0</v>
      </c>
      <c r="O111" s="10" t="str">
        <f t="shared" si="11"/>
        <v>OK</v>
      </c>
    </row>
    <row r="112" spans="1:15" x14ac:dyDescent="0.25">
      <c r="A112" s="7" t="s">
        <v>520</v>
      </c>
      <c r="B112" s="7" t="s">
        <v>194</v>
      </c>
      <c r="C112" s="9">
        <v>46282</v>
      </c>
      <c r="D112" s="7" t="s">
        <v>41</v>
      </c>
      <c r="E112" s="11">
        <v>8</v>
      </c>
      <c r="F112" s="12">
        <v>105</v>
      </c>
      <c r="G112" s="16">
        <v>840</v>
      </c>
      <c r="H112" s="10" t="str">
        <f t="shared" si="6"/>
        <v>E013|20260917|P101</v>
      </c>
      <c r="I112" s="17">
        <f>SUMIFS(Time_Entries!$J$5:$J$332,Time_Entries!$M$5:$M$332,H112,Time_Entries!$N$5:$N$332,"")</f>
        <v>8</v>
      </c>
      <c r="J112" s="18">
        <f t="shared" si="7"/>
        <v>0</v>
      </c>
      <c r="K112" s="13">
        <f>IFERROR(INDEX(Lists!$L$5:$L$20,MATCH(INDEX(Lists!$C$5:$C$34,MATCH(B112,Lists!$A$5:$A$34,0))&amp;"|"&amp;D112,Lists!$I$5:$I$20,0)),"")</f>
        <v>105</v>
      </c>
      <c r="L112" s="19">
        <f t="shared" si="8"/>
        <v>0</v>
      </c>
      <c r="M112" s="15">
        <f t="shared" si="9"/>
        <v>840</v>
      </c>
      <c r="N112" s="20">
        <f t="shared" si="10"/>
        <v>0</v>
      </c>
      <c r="O112" s="10" t="str">
        <f t="shared" si="11"/>
        <v>OK</v>
      </c>
    </row>
    <row r="113" spans="1:15" x14ac:dyDescent="0.25">
      <c r="A113" s="7" t="s">
        <v>521</v>
      </c>
      <c r="B113" s="7" t="s">
        <v>206</v>
      </c>
      <c r="C113" s="9">
        <v>46282</v>
      </c>
      <c r="D113" s="7" t="s">
        <v>46</v>
      </c>
      <c r="E113" s="11">
        <v>8</v>
      </c>
      <c r="F113" s="12">
        <v>110</v>
      </c>
      <c r="G113" s="16">
        <v>880</v>
      </c>
      <c r="H113" s="10" t="str">
        <f t="shared" si="6"/>
        <v>E014|20260917|P102</v>
      </c>
      <c r="I113" s="17">
        <f>SUMIFS(Time_Entries!$J$5:$J$332,Time_Entries!$M$5:$M$332,H113,Time_Entries!$N$5:$N$332,"")</f>
        <v>8</v>
      </c>
      <c r="J113" s="18">
        <f t="shared" si="7"/>
        <v>0</v>
      </c>
      <c r="K113" s="13">
        <f>IFERROR(INDEX(Lists!$L$5:$L$20,MATCH(INDEX(Lists!$C$5:$C$34,MATCH(B113,Lists!$A$5:$A$34,0))&amp;"|"&amp;D113,Lists!$I$5:$I$20,0)),"")</f>
        <v>110</v>
      </c>
      <c r="L113" s="19">
        <f t="shared" si="8"/>
        <v>0</v>
      </c>
      <c r="M113" s="15">
        <f t="shared" si="9"/>
        <v>880</v>
      </c>
      <c r="N113" s="20">
        <f t="shared" si="10"/>
        <v>0</v>
      </c>
      <c r="O113" s="10" t="str">
        <f t="shared" si="11"/>
        <v>OK</v>
      </c>
    </row>
    <row r="114" spans="1:15" x14ac:dyDescent="0.25">
      <c r="A114" s="7" t="s">
        <v>522</v>
      </c>
      <c r="B114" s="7" t="s">
        <v>217</v>
      </c>
      <c r="C114" s="9">
        <v>46282</v>
      </c>
      <c r="D114" s="7" t="s">
        <v>50</v>
      </c>
      <c r="E114" s="11">
        <v>8</v>
      </c>
      <c r="F114" s="12">
        <v>100</v>
      </c>
      <c r="G114" s="16">
        <v>800</v>
      </c>
      <c r="H114" s="10" t="str">
        <f t="shared" si="6"/>
        <v>E015|20260917|P103</v>
      </c>
      <c r="I114" s="17">
        <f>SUMIFS(Time_Entries!$J$5:$J$332,Time_Entries!$M$5:$M$332,H114,Time_Entries!$N$5:$N$332,"")</f>
        <v>8</v>
      </c>
      <c r="J114" s="18">
        <f t="shared" si="7"/>
        <v>0</v>
      </c>
      <c r="K114" s="13">
        <f>IFERROR(INDEX(Lists!$L$5:$L$20,MATCH(INDEX(Lists!$C$5:$C$34,MATCH(B114,Lists!$A$5:$A$34,0))&amp;"|"&amp;D114,Lists!$I$5:$I$20,0)),"")</f>
        <v>100</v>
      </c>
      <c r="L114" s="19">
        <f t="shared" si="8"/>
        <v>0</v>
      </c>
      <c r="M114" s="15">
        <f t="shared" si="9"/>
        <v>800</v>
      </c>
      <c r="N114" s="20">
        <f t="shared" si="10"/>
        <v>0</v>
      </c>
      <c r="O114" s="10" t="str">
        <f t="shared" si="11"/>
        <v>OK</v>
      </c>
    </row>
    <row r="115" spans="1:15" x14ac:dyDescent="0.25">
      <c r="A115" s="7" t="s">
        <v>523</v>
      </c>
      <c r="B115" s="7" t="s">
        <v>229</v>
      </c>
      <c r="C115" s="9">
        <v>46282</v>
      </c>
      <c r="D115" s="7" t="s">
        <v>74</v>
      </c>
      <c r="E115" s="11">
        <v>8</v>
      </c>
      <c r="F115" s="12">
        <v>130</v>
      </c>
      <c r="G115" s="16">
        <v>1040</v>
      </c>
      <c r="H115" s="10" t="str">
        <f t="shared" si="6"/>
        <v>E016|20260917|P104</v>
      </c>
      <c r="I115" s="17">
        <f>SUMIFS(Time_Entries!$J$5:$J$332,Time_Entries!$M$5:$M$332,H115,Time_Entries!$N$5:$N$332,"")</f>
        <v>8</v>
      </c>
      <c r="J115" s="18">
        <f t="shared" si="7"/>
        <v>0</v>
      </c>
      <c r="K115" s="13">
        <f>IFERROR(INDEX(Lists!$L$5:$L$20,MATCH(INDEX(Lists!$C$5:$C$34,MATCH(B115,Lists!$A$5:$A$34,0))&amp;"|"&amp;D115,Lists!$I$5:$I$20,0)),"")</f>
        <v>130</v>
      </c>
      <c r="L115" s="19">
        <f t="shared" si="8"/>
        <v>0</v>
      </c>
      <c r="M115" s="15">
        <f t="shared" si="9"/>
        <v>1040</v>
      </c>
      <c r="N115" s="20">
        <f t="shared" si="10"/>
        <v>0</v>
      </c>
      <c r="O115" s="10" t="str">
        <f t="shared" si="11"/>
        <v>OK</v>
      </c>
    </row>
    <row r="116" spans="1:15" x14ac:dyDescent="0.25">
      <c r="A116" s="7" t="s">
        <v>524</v>
      </c>
      <c r="B116" s="7" t="s">
        <v>240</v>
      </c>
      <c r="C116" s="9">
        <v>46282</v>
      </c>
      <c r="D116" s="7" t="s">
        <v>41</v>
      </c>
      <c r="E116" s="11">
        <v>8</v>
      </c>
      <c r="F116" s="12">
        <v>118</v>
      </c>
      <c r="G116" s="16">
        <v>944</v>
      </c>
      <c r="H116" s="10" t="str">
        <f t="shared" si="6"/>
        <v>E017|20260917|P101</v>
      </c>
      <c r="I116" s="17">
        <f>SUMIFS(Time_Entries!$J$5:$J$332,Time_Entries!$M$5:$M$332,H116,Time_Entries!$N$5:$N$332,"")</f>
        <v>8</v>
      </c>
      <c r="J116" s="18">
        <f t="shared" si="7"/>
        <v>0</v>
      </c>
      <c r="K116" s="13">
        <f>IFERROR(INDEX(Lists!$L$5:$L$20,MATCH(INDEX(Lists!$C$5:$C$34,MATCH(B116,Lists!$A$5:$A$34,0))&amp;"|"&amp;D116,Lists!$I$5:$I$20,0)),"")</f>
        <v>118</v>
      </c>
      <c r="L116" s="19">
        <f t="shared" si="8"/>
        <v>0</v>
      </c>
      <c r="M116" s="15">
        <f t="shared" si="9"/>
        <v>944</v>
      </c>
      <c r="N116" s="20">
        <f t="shared" si="10"/>
        <v>0</v>
      </c>
      <c r="O116" s="10" t="str">
        <f t="shared" si="11"/>
        <v>OK</v>
      </c>
    </row>
    <row r="117" spans="1:15" x14ac:dyDescent="0.25">
      <c r="A117" s="7" t="s">
        <v>525</v>
      </c>
      <c r="B117" s="7" t="s">
        <v>250</v>
      </c>
      <c r="C117" s="9">
        <v>46282</v>
      </c>
      <c r="D117" s="7" t="s">
        <v>46</v>
      </c>
      <c r="E117" s="11">
        <v>8</v>
      </c>
      <c r="F117" s="12">
        <v>124</v>
      </c>
      <c r="G117" s="16">
        <v>992</v>
      </c>
      <c r="H117" s="10" t="str">
        <f t="shared" si="6"/>
        <v>E018|20260917|P102</v>
      </c>
      <c r="I117" s="17">
        <f>SUMIFS(Time_Entries!$J$5:$J$332,Time_Entries!$M$5:$M$332,H117,Time_Entries!$N$5:$N$332,"")</f>
        <v>8</v>
      </c>
      <c r="J117" s="18">
        <f t="shared" si="7"/>
        <v>0</v>
      </c>
      <c r="K117" s="13">
        <f>IFERROR(INDEX(Lists!$L$5:$L$20,MATCH(INDEX(Lists!$C$5:$C$34,MATCH(B117,Lists!$A$5:$A$34,0))&amp;"|"&amp;D117,Lists!$I$5:$I$20,0)),"")</f>
        <v>124</v>
      </c>
      <c r="L117" s="19">
        <f t="shared" si="8"/>
        <v>0</v>
      </c>
      <c r="M117" s="15">
        <f t="shared" si="9"/>
        <v>992</v>
      </c>
      <c r="N117" s="20">
        <f t="shared" si="10"/>
        <v>0</v>
      </c>
      <c r="O117" s="10" t="str">
        <f t="shared" si="11"/>
        <v>OK</v>
      </c>
    </row>
    <row r="118" spans="1:15" x14ac:dyDescent="0.25">
      <c r="A118" s="7" t="s">
        <v>526</v>
      </c>
      <c r="B118" s="7" t="s">
        <v>262</v>
      </c>
      <c r="C118" s="9">
        <v>46282</v>
      </c>
      <c r="D118" s="7" t="s">
        <v>50</v>
      </c>
      <c r="E118" s="11">
        <v>8</v>
      </c>
      <c r="F118" s="12">
        <v>112</v>
      </c>
      <c r="G118" s="16">
        <v>896</v>
      </c>
      <c r="H118" s="10" t="str">
        <f t="shared" si="6"/>
        <v>E019|20260917|P103</v>
      </c>
      <c r="I118" s="17">
        <f>SUMIFS(Time_Entries!$J$5:$J$332,Time_Entries!$M$5:$M$332,H118,Time_Entries!$N$5:$N$332,"")</f>
        <v>8</v>
      </c>
      <c r="J118" s="18">
        <f t="shared" si="7"/>
        <v>0</v>
      </c>
      <c r="K118" s="13">
        <f>IFERROR(INDEX(Lists!$L$5:$L$20,MATCH(INDEX(Lists!$C$5:$C$34,MATCH(B118,Lists!$A$5:$A$34,0))&amp;"|"&amp;D118,Lists!$I$5:$I$20,0)),"")</f>
        <v>112</v>
      </c>
      <c r="L118" s="19">
        <f t="shared" si="8"/>
        <v>0</v>
      </c>
      <c r="M118" s="15">
        <f t="shared" si="9"/>
        <v>896</v>
      </c>
      <c r="N118" s="20">
        <f t="shared" si="10"/>
        <v>0</v>
      </c>
      <c r="O118" s="10" t="str">
        <f t="shared" si="11"/>
        <v>OK</v>
      </c>
    </row>
    <row r="119" spans="1:15" x14ac:dyDescent="0.25">
      <c r="A119" s="7" t="s">
        <v>527</v>
      </c>
      <c r="B119" s="7" t="s">
        <v>273</v>
      </c>
      <c r="C119" s="9">
        <v>46282</v>
      </c>
      <c r="D119" s="7" t="s">
        <v>74</v>
      </c>
      <c r="E119" s="11">
        <v>8</v>
      </c>
      <c r="F119" s="12">
        <v>130</v>
      </c>
      <c r="G119" s="16">
        <v>1040</v>
      </c>
      <c r="H119" s="10" t="str">
        <f t="shared" si="6"/>
        <v>E020|20260917|P104</v>
      </c>
      <c r="I119" s="17">
        <f>SUMIFS(Time_Entries!$J$5:$J$332,Time_Entries!$M$5:$M$332,H119,Time_Entries!$N$5:$N$332,"")</f>
        <v>8</v>
      </c>
      <c r="J119" s="18">
        <f t="shared" si="7"/>
        <v>0</v>
      </c>
      <c r="K119" s="13">
        <f>IFERROR(INDEX(Lists!$L$5:$L$20,MATCH(INDEX(Lists!$C$5:$C$34,MATCH(B119,Lists!$A$5:$A$34,0))&amp;"|"&amp;D119,Lists!$I$5:$I$20,0)),"")</f>
        <v>130</v>
      </c>
      <c r="L119" s="19">
        <f t="shared" si="8"/>
        <v>0</v>
      </c>
      <c r="M119" s="15">
        <f t="shared" si="9"/>
        <v>1040</v>
      </c>
      <c r="N119" s="20">
        <f t="shared" si="10"/>
        <v>0</v>
      </c>
      <c r="O119" s="10" t="str">
        <f t="shared" si="11"/>
        <v>OK</v>
      </c>
    </row>
    <row r="120" spans="1:15" x14ac:dyDescent="0.25">
      <c r="A120" s="7" t="s">
        <v>528</v>
      </c>
      <c r="B120" s="7" t="s">
        <v>284</v>
      </c>
      <c r="C120" s="9">
        <v>46282</v>
      </c>
      <c r="D120" s="7" t="s">
        <v>41</v>
      </c>
      <c r="E120" s="11">
        <v>8</v>
      </c>
      <c r="F120" s="12">
        <v>118</v>
      </c>
      <c r="G120" s="16">
        <v>944</v>
      </c>
      <c r="H120" s="10" t="str">
        <f t="shared" si="6"/>
        <v>E021|20260917|P101</v>
      </c>
      <c r="I120" s="17">
        <f>SUMIFS(Time_Entries!$J$5:$J$332,Time_Entries!$M$5:$M$332,H120,Time_Entries!$N$5:$N$332,"")</f>
        <v>8</v>
      </c>
      <c r="J120" s="18">
        <f t="shared" si="7"/>
        <v>0</v>
      </c>
      <c r="K120" s="13">
        <f>IFERROR(INDEX(Lists!$L$5:$L$20,MATCH(INDEX(Lists!$C$5:$C$34,MATCH(B120,Lists!$A$5:$A$34,0))&amp;"|"&amp;D120,Lists!$I$5:$I$20,0)),"")</f>
        <v>118</v>
      </c>
      <c r="L120" s="19">
        <f t="shared" si="8"/>
        <v>0</v>
      </c>
      <c r="M120" s="15">
        <f t="shared" si="9"/>
        <v>944</v>
      </c>
      <c r="N120" s="20">
        <f t="shared" si="10"/>
        <v>0</v>
      </c>
      <c r="O120" s="10" t="str">
        <f t="shared" si="11"/>
        <v>OK</v>
      </c>
    </row>
    <row r="121" spans="1:15" x14ac:dyDescent="0.25">
      <c r="A121" s="7" t="s">
        <v>529</v>
      </c>
      <c r="B121" s="7" t="s">
        <v>295</v>
      </c>
      <c r="C121" s="9">
        <v>46282</v>
      </c>
      <c r="D121" s="7" t="s">
        <v>41</v>
      </c>
      <c r="E121" s="11">
        <v>4</v>
      </c>
      <c r="F121" s="12">
        <v>118</v>
      </c>
      <c r="G121" s="16">
        <v>472</v>
      </c>
      <c r="H121" s="10" t="str">
        <f t="shared" si="6"/>
        <v>E022|20260917|P101</v>
      </c>
      <c r="I121" s="17">
        <f>SUMIFS(Time_Entries!$J$5:$J$332,Time_Entries!$M$5:$M$332,H121,Time_Entries!$N$5:$N$332,"")</f>
        <v>4</v>
      </c>
      <c r="J121" s="18">
        <f t="shared" si="7"/>
        <v>0</v>
      </c>
      <c r="K121" s="13">
        <f>IFERROR(INDEX(Lists!$L$5:$L$20,MATCH(INDEX(Lists!$C$5:$C$34,MATCH(B121,Lists!$A$5:$A$34,0))&amp;"|"&amp;D121,Lists!$I$5:$I$20,0)),"")</f>
        <v>118</v>
      </c>
      <c r="L121" s="19">
        <f t="shared" si="8"/>
        <v>0</v>
      </c>
      <c r="M121" s="15">
        <f t="shared" si="9"/>
        <v>472</v>
      </c>
      <c r="N121" s="20">
        <f t="shared" si="10"/>
        <v>0</v>
      </c>
      <c r="O121" s="10" t="str">
        <f t="shared" si="11"/>
        <v>OK</v>
      </c>
    </row>
    <row r="122" spans="1:15" x14ac:dyDescent="0.25">
      <c r="A122" s="7" t="s">
        <v>530</v>
      </c>
      <c r="B122" s="7" t="s">
        <v>295</v>
      </c>
      <c r="C122" s="9">
        <v>46282</v>
      </c>
      <c r="D122" s="7" t="s">
        <v>46</v>
      </c>
      <c r="E122" s="11">
        <v>4</v>
      </c>
      <c r="F122" s="12">
        <v>124</v>
      </c>
      <c r="G122" s="16">
        <v>496</v>
      </c>
      <c r="H122" s="10" t="str">
        <f t="shared" si="6"/>
        <v>E022|20260917|P102</v>
      </c>
      <c r="I122" s="17">
        <f>SUMIFS(Time_Entries!$J$5:$J$332,Time_Entries!$M$5:$M$332,H122,Time_Entries!$N$5:$N$332,"")</f>
        <v>4</v>
      </c>
      <c r="J122" s="18">
        <f t="shared" si="7"/>
        <v>0</v>
      </c>
      <c r="K122" s="13">
        <f>IFERROR(INDEX(Lists!$L$5:$L$20,MATCH(INDEX(Lists!$C$5:$C$34,MATCH(B122,Lists!$A$5:$A$34,0))&amp;"|"&amp;D122,Lists!$I$5:$I$20,0)),"")</f>
        <v>124</v>
      </c>
      <c r="L122" s="19">
        <f t="shared" si="8"/>
        <v>0</v>
      </c>
      <c r="M122" s="15">
        <f t="shared" si="9"/>
        <v>496</v>
      </c>
      <c r="N122" s="20">
        <f t="shared" si="10"/>
        <v>0</v>
      </c>
      <c r="O122" s="10" t="str">
        <f t="shared" si="11"/>
        <v>OK</v>
      </c>
    </row>
    <row r="123" spans="1:15" x14ac:dyDescent="0.25">
      <c r="A123" s="7" t="s">
        <v>531</v>
      </c>
      <c r="B123" s="7" t="s">
        <v>307</v>
      </c>
      <c r="C123" s="9">
        <v>46282</v>
      </c>
      <c r="D123" s="7" t="s">
        <v>50</v>
      </c>
      <c r="E123" s="11">
        <v>8</v>
      </c>
      <c r="F123" s="12">
        <v>112</v>
      </c>
      <c r="G123" s="16">
        <v>896</v>
      </c>
      <c r="H123" s="10" t="str">
        <f t="shared" si="6"/>
        <v>E023|20260917|P103</v>
      </c>
      <c r="I123" s="17">
        <f>SUMIFS(Time_Entries!$J$5:$J$332,Time_Entries!$M$5:$M$332,H123,Time_Entries!$N$5:$N$332,"")</f>
        <v>8</v>
      </c>
      <c r="J123" s="18">
        <f t="shared" si="7"/>
        <v>0</v>
      </c>
      <c r="K123" s="13">
        <f>IFERROR(INDEX(Lists!$L$5:$L$20,MATCH(INDEX(Lists!$C$5:$C$34,MATCH(B123,Lists!$A$5:$A$34,0))&amp;"|"&amp;D123,Lists!$I$5:$I$20,0)),"")</f>
        <v>112</v>
      </c>
      <c r="L123" s="19">
        <f t="shared" si="8"/>
        <v>0</v>
      </c>
      <c r="M123" s="15">
        <f t="shared" si="9"/>
        <v>896</v>
      </c>
      <c r="N123" s="20">
        <f t="shared" si="10"/>
        <v>0</v>
      </c>
      <c r="O123" s="10" t="str">
        <f t="shared" si="11"/>
        <v>OK</v>
      </c>
    </row>
    <row r="124" spans="1:15" x14ac:dyDescent="0.25">
      <c r="A124" s="7" t="s">
        <v>532</v>
      </c>
      <c r="B124" s="7" t="s">
        <v>317</v>
      </c>
      <c r="C124" s="9">
        <v>46282</v>
      </c>
      <c r="D124" s="7" t="s">
        <v>74</v>
      </c>
      <c r="E124" s="11">
        <v>8</v>
      </c>
      <c r="F124" s="12">
        <v>130</v>
      </c>
      <c r="G124" s="16">
        <v>1040</v>
      </c>
      <c r="H124" s="10" t="str">
        <f t="shared" si="6"/>
        <v>E024|20260917|P104</v>
      </c>
      <c r="I124" s="17">
        <f>SUMIFS(Time_Entries!$J$5:$J$332,Time_Entries!$M$5:$M$332,H124,Time_Entries!$N$5:$N$332,"")</f>
        <v>8</v>
      </c>
      <c r="J124" s="18">
        <f t="shared" si="7"/>
        <v>0</v>
      </c>
      <c r="K124" s="13">
        <f>IFERROR(INDEX(Lists!$L$5:$L$20,MATCH(INDEX(Lists!$C$5:$C$34,MATCH(B124,Lists!$A$5:$A$34,0))&amp;"|"&amp;D124,Lists!$I$5:$I$20,0)),"")</f>
        <v>130</v>
      </c>
      <c r="L124" s="19">
        <f t="shared" si="8"/>
        <v>0</v>
      </c>
      <c r="M124" s="15">
        <f t="shared" si="9"/>
        <v>1040</v>
      </c>
      <c r="N124" s="20">
        <f t="shared" si="10"/>
        <v>0</v>
      </c>
      <c r="O124" s="10" t="str">
        <f t="shared" si="11"/>
        <v>OK</v>
      </c>
    </row>
    <row r="125" spans="1:15" x14ac:dyDescent="0.25">
      <c r="A125" s="7" t="s">
        <v>533</v>
      </c>
      <c r="B125" s="7" t="s">
        <v>329</v>
      </c>
      <c r="C125" s="9">
        <v>46282</v>
      </c>
      <c r="D125" s="7" t="s">
        <v>41</v>
      </c>
      <c r="E125" s="11">
        <v>8</v>
      </c>
      <c r="F125" s="12">
        <v>98</v>
      </c>
      <c r="G125" s="16">
        <v>784</v>
      </c>
      <c r="H125" s="10" t="str">
        <f t="shared" si="6"/>
        <v>E025|20260917|P101</v>
      </c>
      <c r="I125" s="17">
        <f>SUMIFS(Time_Entries!$J$5:$J$332,Time_Entries!$M$5:$M$332,H125,Time_Entries!$N$5:$N$332,"")</f>
        <v>8</v>
      </c>
      <c r="J125" s="18">
        <f t="shared" si="7"/>
        <v>0</v>
      </c>
      <c r="K125" s="13">
        <f>IFERROR(INDEX(Lists!$L$5:$L$20,MATCH(INDEX(Lists!$C$5:$C$34,MATCH(B125,Lists!$A$5:$A$34,0))&amp;"|"&amp;D125,Lists!$I$5:$I$20,0)),"")</f>
        <v>98</v>
      </c>
      <c r="L125" s="19">
        <f t="shared" si="8"/>
        <v>0</v>
      </c>
      <c r="M125" s="15">
        <f t="shared" si="9"/>
        <v>784</v>
      </c>
      <c r="N125" s="20">
        <f t="shared" si="10"/>
        <v>0</v>
      </c>
      <c r="O125" s="10" t="str">
        <f t="shared" si="11"/>
        <v>OK</v>
      </c>
    </row>
    <row r="126" spans="1:15" x14ac:dyDescent="0.25">
      <c r="A126" s="7" t="s">
        <v>534</v>
      </c>
      <c r="B126" s="7" t="s">
        <v>342</v>
      </c>
      <c r="C126" s="9">
        <v>46282</v>
      </c>
      <c r="D126" s="7" t="s">
        <v>46</v>
      </c>
      <c r="E126" s="11">
        <v>8</v>
      </c>
      <c r="F126" s="12">
        <v>103</v>
      </c>
      <c r="G126" s="16">
        <v>824</v>
      </c>
      <c r="H126" s="10" t="str">
        <f t="shared" si="6"/>
        <v>E026|20260917|P102</v>
      </c>
      <c r="I126" s="17">
        <f>SUMIFS(Time_Entries!$J$5:$J$332,Time_Entries!$M$5:$M$332,H126,Time_Entries!$N$5:$N$332,"")</f>
        <v>8</v>
      </c>
      <c r="J126" s="18">
        <f t="shared" si="7"/>
        <v>0</v>
      </c>
      <c r="K126" s="13">
        <f>IFERROR(INDEX(Lists!$L$5:$L$20,MATCH(INDEX(Lists!$C$5:$C$34,MATCH(B126,Lists!$A$5:$A$34,0))&amp;"|"&amp;D126,Lists!$I$5:$I$20,0)),"")</f>
        <v>103</v>
      </c>
      <c r="L126" s="19">
        <f t="shared" si="8"/>
        <v>0</v>
      </c>
      <c r="M126" s="15">
        <f t="shared" si="9"/>
        <v>824</v>
      </c>
      <c r="N126" s="20">
        <f t="shared" si="10"/>
        <v>0</v>
      </c>
      <c r="O126" s="10" t="str">
        <f t="shared" si="11"/>
        <v>OK</v>
      </c>
    </row>
    <row r="127" spans="1:15" x14ac:dyDescent="0.25">
      <c r="A127" s="7" t="s">
        <v>535</v>
      </c>
      <c r="B127" s="7" t="s">
        <v>352</v>
      </c>
      <c r="C127" s="9">
        <v>46282</v>
      </c>
      <c r="D127" s="7" t="s">
        <v>50</v>
      </c>
      <c r="E127" s="11">
        <v>8</v>
      </c>
      <c r="F127" s="12">
        <v>93</v>
      </c>
      <c r="G127" s="16">
        <v>744</v>
      </c>
      <c r="H127" s="10" t="str">
        <f t="shared" si="6"/>
        <v>E027|20260917|P103</v>
      </c>
      <c r="I127" s="17">
        <f>SUMIFS(Time_Entries!$J$5:$J$332,Time_Entries!$M$5:$M$332,H127,Time_Entries!$N$5:$N$332,"")</f>
        <v>8</v>
      </c>
      <c r="J127" s="18">
        <f t="shared" si="7"/>
        <v>0</v>
      </c>
      <c r="K127" s="13">
        <f>IFERROR(INDEX(Lists!$L$5:$L$20,MATCH(INDEX(Lists!$C$5:$C$34,MATCH(B127,Lists!$A$5:$A$34,0))&amp;"|"&amp;D127,Lists!$I$5:$I$20,0)),"")</f>
        <v>93</v>
      </c>
      <c r="L127" s="19">
        <f t="shared" si="8"/>
        <v>0</v>
      </c>
      <c r="M127" s="15">
        <f t="shared" si="9"/>
        <v>744</v>
      </c>
      <c r="N127" s="20">
        <f t="shared" si="10"/>
        <v>0</v>
      </c>
      <c r="O127" s="10" t="str">
        <f t="shared" si="11"/>
        <v>OK</v>
      </c>
    </row>
    <row r="128" spans="1:15" x14ac:dyDescent="0.25">
      <c r="A128" s="7" t="s">
        <v>536</v>
      </c>
      <c r="B128" s="7" t="s">
        <v>363</v>
      </c>
      <c r="C128" s="9">
        <v>46282</v>
      </c>
      <c r="D128" s="7" t="s">
        <v>74</v>
      </c>
      <c r="E128" s="11">
        <v>8</v>
      </c>
      <c r="F128" s="12">
        <v>108</v>
      </c>
      <c r="G128" s="16">
        <v>864</v>
      </c>
      <c r="H128" s="10" t="str">
        <f t="shared" si="6"/>
        <v>E028|20260917|P104</v>
      </c>
      <c r="I128" s="17">
        <f>SUMIFS(Time_Entries!$J$5:$J$332,Time_Entries!$M$5:$M$332,H128,Time_Entries!$N$5:$N$332,"")</f>
        <v>8</v>
      </c>
      <c r="J128" s="18">
        <f t="shared" si="7"/>
        <v>0</v>
      </c>
      <c r="K128" s="13">
        <f>IFERROR(INDEX(Lists!$L$5:$L$20,MATCH(INDEX(Lists!$C$5:$C$34,MATCH(B128,Lists!$A$5:$A$34,0))&amp;"|"&amp;D128,Lists!$I$5:$I$20,0)),"")</f>
        <v>108</v>
      </c>
      <c r="L128" s="19">
        <f t="shared" si="8"/>
        <v>0</v>
      </c>
      <c r="M128" s="15">
        <f t="shared" si="9"/>
        <v>864</v>
      </c>
      <c r="N128" s="20">
        <f t="shared" si="10"/>
        <v>0</v>
      </c>
      <c r="O128" s="10" t="str">
        <f t="shared" si="11"/>
        <v>OK</v>
      </c>
    </row>
    <row r="129" spans="1:15" x14ac:dyDescent="0.25">
      <c r="A129" s="7" t="s">
        <v>537</v>
      </c>
      <c r="B129" s="7" t="s">
        <v>385</v>
      </c>
      <c r="C129" s="9">
        <v>46282</v>
      </c>
      <c r="D129" s="7" t="s">
        <v>46</v>
      </c>
      <c r="E129" s="11">
        <v>8</v>
      </c>
      <c r="F129" s="12">
        <v>103</v>
      </c>
      <c r="G129" s="16">
        <v>824</v>
      </c>
      <c r="H129" s="10" t="str">
        <f t="shared" si="6"/>
        <v>E030|20260917|P102</v>
      </c>
      <c r="I129" s="17">
        <f>SUMIFS(Time_Entries!$J$5:$J$332,Time_Entries!$M$5:$M$332,H129,Time_Entries!$N$5:$N$332,"")</f>
        <v>8</v>
      </c>
      <c r="J129" s="18">
        <f t="shared" si="7"/>
        <v>0</v>
      </c>
      <c r="K129" s="13">
        <f>IFERROR(INDEX(Lists!$L$5:$L$20,MATCH(INDEX(Lists!$C$5:$C$34,MATCH(B129,Lists!$A$5:$A$34,0))&amp;"|"&amp;D129,Lists!$I$5:$I$20,0)),"")</f>
        <v>103</v>
      </c>
      <c r="L129" s="19">
        <f t="shared" si="8"/>
        <v>0</v>
      </c>
      <c r="M129" s="15">
        <f t="shared" si="9"/>
        <v>824</v>
      </c>
      <c r="N129" s="20">
        <f t="shared" si="10"/>
        <v>0</v>
      </c>
      <c r="O129" s="10" t="str">
        <f t="shared" si="11"/>
        <v>OK</v>
      </c>
    </row>
    <row r="130" spans="1:15" x14ac:dyDescent="0.25">
      <c r="A130" s="7" t="s">
        <v>538</v>
      </c>
      <c r="B130" s="7" t="s">
        <v>40</v>
      </c>
      <c r="C130" s="9">
        <v>46283</v>
      </c>
      <c r="D130" s="7" t="s">
        <v>41</v>
      </c>
      <c r="E130" s="11">
        <v>8</v>
      </c>
      <c r="F130" s="12">
        <v>78</v>
      </c>
      <c r="G130" s="16">
        <v>624</v>
      </c>
      <c r="H130" s="10" t="str">
        <f t="shared" si="6"/>
        <v>E001|20260918|P101</v>
      </c>
      <c r="I130" s="17">
        <f>SUMIFS(Time_Entries!$J$5:$J$332,Time_Entries!$M$5:$M$332,H130,Time_Entries!$N$5:$N$332,"")</f>
        <v>8</v>
      </c>
      <c r="J130" s="18">
        <f t="shared" si="7"/>
        <v>0</v>
      </c>
      <c r="K130" s="13">
        <f>IFERROR(INDEX(Lists!$L$5:$L$20,MATCH(INDEX(Lists!$C$5:$C$34,MATCH(B130,Lists!$A$5:$A$34,0))&amp;"|"&amp;D130,Lists!$I$5:$I$20,0)),"")</f>
        <v>78</v>
      </c>
      <c r="L130" s="19">
        <f t="shared" si="8"/>
        <v>0</v>
      </c>
      <c r="M130" s="15">
        <f t="shared" si="9"/>
        <v>624</v>
      </c>
      <c r="N130" s="20">
        <f t="shared" si="10"/>
        <v>0</v>
      </c>
      <c r="O130" s="10" t="str">
        <f t="shared" si="11"/>
        <v>OK</v>
      </c>
    </row>
    <row r="131" spans="1:15" x14ac:dyDescent="0.25">
      <c r="A131" s="7" t="s">
        <v>539</v>
      </c>
      <c r="B131" s="7" t="s">
        <v>58</v>
      </c>
      <c r="C131" s="9">
        <v>46283</v>
      </c>
      <c r="D131" s="7" t="s">
        <v>46</v>
      </c>
      <c r="E131" s="11">
        <v>8</v>
      </c>
      <c r="F131" s="12">
        <v>82</v>
      </c>
      <c r="G131" s="16">
        <v>656</v>
      </c>
      <c r="H131" s="10" t="str">
        <f t="shared" si="6"/>
        <v>E002|20260918|P102</v>
      </c>
      <c r="I131" s="17">
        <f>SUMIFS(Time_Entries!$J$5:$J$332,Time_Entries!$M$5:$M$332,H131,Time_Entries!$N$5:$N$332,"")</f>
        <v>8</v>
      </c>
      <c r="J131" s="18">
        <f t="shared" si="7"/>
        <v>0</v>
      </c>
      <c r="K131" s="13">
        <f>IFERROR(INDEX(Lists!$L$5:$L$20,MATCH(INDEX(Lists!$C$5:$C$34,MATCH(B131,Lists!$A$5:$A$34,0))&amp;"|"&amp;D131,Lists!$I$5:$I$20,0)),"")</f>
        <v>82</v>
      </c>
      <c r="L131" s="19">
        <f t="shared" si="8"/>
        <v>0</v>
      </c>
      <c r="M131" s="15">
        <f t="shared" si="9"/>
        <v>656</v>
      </c>
      <c r="N131" s="20">
        <f t="shared" si="10"/>
        <v>0</v>
      </c>
      <c r="O131" s="10" t="str">
        <f t="shared" si="11"/>
        <v>OK</v>
      </c>
    </row>
    <row r="132" spans="1:15" x14ac:dyDescent="0.25">
      <c r="A132" s="7" t="s">
        <v>540</v>
      </c>
      <c r="B132" s="7" t="s">
        <v>72</v>
      </c>
      <c r="C132" s="9">
        <v>46283</v>
      </c>
      <c r="D132" s="7" t="s">
        <v>50</v>
      </c>
      <c r="E132" s="11">
        <v>8</v>
      </c>
      <c r="F132" s="12">
        <v>74</v>
      </c>
      <c r="G132" s="16">
        <v>592</v>
      </c>
      <c r="H132" s="10" t="str">
        <f t="shared" si="6"/>
        <v>E003|20260918|P103</v>
      </c>
      <c r="I132" s="17">
        <f>SUMIFS(Time_Entries!$J$5:$J$332,Time_Entries!$M$5:$M$332,H132,Time_Entries!$N$5:$N$332,"")</f>
        <v>8</v>
      </c>
      <c r="J132" s="18">
        <f t="shared" si="7"/>
        <v>0</v>
      </c>
      <c r="K132" s="13">
        <f>IFERROR(INDEX(Lists!$L$5:$L$20,MATCH(INDEX(Lists!$C$5:$C$34,MATCH(B132,Lists!$A$5:$A$34,0))&amp;"|"&amp;D132,Lists!$I$5:$I$20,0)),"")</f>
        <v>74</v>
      </c>
      <c r="L132" s="19">
        <f t="shared" si="8"/>
        <v>0</v>
      </c>
      <c r="M132" s="15">
        <f t="shared" si="9"/>
        <v>592</v>
      </c>
      <c r="N132" s="20">
        <f t="shared" si="10"/>
        <v>0</v>
      </c>
      <c r="O132" s="10" t="str">
        <f t="shared" si="11"/>
        <v>OK</v>
      </c>
    </row>
    <row r="133" spans="1:15" x14ac:dyDescent="0.25">
      <c r="A133" s="7" t="s">
        <v>541</v>
      </c>
      <c r="B133" s="7" t="s">
        <v>87</v>
      </c>
      <c r="C133" s="9">
        <v>46283</v>
      </c>
      <c r="D133" s="7" t="s">
        <v>74</v>
      </c>
      <c r="E133" s="11">
        <v>8</v>
      </c>
      <c r="F133" s="12">
        <v>86</v>
      </c>
      <c r="G133" s="16">
        <v>688</v>
      </c>
      <c r="H133" s="10" t="str">
        <f t="shared" ref="H133:H196" si="12">B133&amp;"|"&amp;TEXT(C133,"yyyymmdd")&amp;"|"&amp;D133</f>
        <v>E004|20260918|P104</v>
      </c>
      <c r="I133" s="17">
        <f>SUMIFS(Time_Entries!$J$5:$J$332,Time_Entries!$M$5:$M$332,H133,Time_Entries!$N$5:$N$332,"")</f>
        <v>8</v>
      </c>
      <c r="J133" s="18">
        <f t="shared" ref="J133:J196" si="13">E133-I133</f>
        <v>0</v>
      </c>
      <c r="K133" s="13">
        <f>IFERROR(INDEX(Lists!$L$5:$L$20,MATCH(INDEX(Lists!$C$5:$C$34,MATCH(B133,Lists!$A$5:$A$34,0))&amp;"|"&amp;D133,Lists!$I$5:$I$20,0)),"")</f>
        <v>86</v>
      </c>
      <c r="L133" s="19">
        <f t="shared" ref="L133:L196" si="14">IF(K133="","",F133-K133)</f>
        <v>0</v>
      </c>
      <c r="M133" s="15">
        <f t="shared" ref="M133:M196" si="15">IF(K133="",0,I133*K133)</f>
        <v>688</v>
      </c>
      <c r="N133" s="20">
        <f t="shared" ref="N133:N196" si="16">G133-M133</f>
        <v>0</v>
      </c>
      <c r="O133" s="10" t="str">
        <f t="shared" ref="O133:O196" si="17">IF(I133=0,"NO TIME ENTRY",IF(ABS(J133)&gt;0.001,"HOURS",IF(AND(K133&lt;&gt;"",ABS(L133)&gt;0.001),"RATE","OK")))</f>
        <v>OK</v>
      </c>
    </row>
    <row r="134" spans="1:15" x14ac:dyDescent="0.25">
      <c r="A134" s="7" t="s">
        <v>542</v>
      </c>
      <c r="B134" s="7" t="s">
        <v>99</v>
      </c>
      <c r="C134" s="9">
        <v>46283</v>
      </c>
      <c r="D134" s="7" t="s">
        <v>41</v>
      </c>
      <c r="E134" s="11">
        <v>4</v>
      </c>
      <c r="F134" s="12">
        <v>78</v>
      </c>
      <c r="G134" s="16">
        <v>312</v>
      </c>
      <c r="H134" s="10" t="str">
        <f t="shared" si="12"/>
        <v>E005|20260918|P101</v>
      </c>
      <c r="I134" s="17">
        <f>SUMIFS(Time_Entries!$J$5:$J$332,Time_Entries!$M$5:$M$332,H134,Time_Entries!$N$5:$N$332,"")</f>
        <v>4</v>
      </c>
      <c r="J134" s="18">
        <f t="shared" si="13"/>
        <v>0</v>
      </c>
      <c r="K134" s="13">
        <f>IFERROR(INDEX(Lists!$L$5:$L$20,MATCH(INDEX(Lists!$C$5:$C$34,MATCH(B134,Lists!$A$5:$A$34,0))&amp;"|"&amp;D134,Lists!$I$5:$I$20,0)),"")</f>
        <v>78</v>
      </c>
      <c r="L134" s="19">
        <f t="shared" si="14"/>
        <v>0</v>
      </c>
      <c r="M134" s="15">
        <f t="shared" si="15"/>
        <v>312</v>
      </c>
      <c r="N134" s="20">
        <f t="shared" si="16"/>
        <v>0</v>
      </c>
      <c r="O134" s="10" t="str">
        <f t="shared" si="17"/>
        <v>OK</v>
      </c>
    </row>
    <row r="135" spans="1:15" x14ac:dyDescent="0.25">
      <c r="A135" s="7" t="s">
        <v>543</v>
      </c>
      <c r="B135" s="7" t="s">
        <v>110</v>
      </c>
      <c r="C135" s="9">
        <v>46283</v>
      </c>
      <c r="D135" s="7" t="s">
        <v>46</v>
      </c>
      <c r="E135" s="11">
        <v>8</v>
      </c>
      <c r="F135" s="12">
        <v>82</v>
      </c>
      <c r="G135" s="16">
        <v>656</v>
      </c>
      <c r="H135" s="10" t="str">
        <f t="shared" si="12"/>
        <v>E006|20260918|P102</v>
      </c>
      <c r="I135" s="17">
        <f>SUMIFS(Time_Entries!$J$5:$J$332,Time_Entries!$M$5:$M$332,H135,Time_Entries!$N$5:$N$332,"")</f>
        <v>8</v>
      </c>
      <c r="J135" s="18">
        <f t="shared" si="13"/>
        <v>0</v>
      </c>
      <c r="K135" s="13">
        <f>IFERROR(INDEX(Lists!$L$5:$L$20,MATCH(INDEX(Lists!$C$5:$C$34,MATCH(B135,Lists!$A$5:$A$34,0))&amp;"|"&amp;D135,Lists!$I$5:$I$20,0)),"")</f>
        <v>82</v>
      </c>
      <c r="L135" s="19">
        <f t="shared" si="14"/>
        <v>0</v>
      </c>
      <c r="M135" s="15">
        <f t="shared" si="15"/>
        <v>656</v>
      </c>
      <c r="N135" s="20">
        <f t="shared" si="16"/>
        <v>0</v>
      </c>
      <c r="O135" s="10" t="str">
        <f t="shared" si="17"/>
        <v>OK</v>
      </c>
    </row>
    <row r="136" spans="1:15" x14ac:dyDescent="0.25">
      <c r="A136" s="7" t="s">
        <v>544</v>
      </c>
      <c r="B136" s="7" t="s">
        <v>124</v>
      </c>
      <c r="C136" s="9">
        <v>46283</v>
      </c>
      <c r="D136" s="7" t="s">
        <v>50</v>
      </c>
      <c r="E136" s="11">
        <v>8</v>
      </c>
      <c r="F136" s="12">
        <v>74</v>
      </c>
      <c r="G136" s="16">
        <v>592</v>
      </c>
      <c r="H136" s="10" t="str">
        <f t="shared" si="12"/>
        <v>E007|20260918|P103</v>
      </c>
      <c r="I136" s="17">
        <f>SUMIFS(Time_Entries!$J$5:$J$332,Time_Entries!$M$5:$M$332,H136,Time_Entries!$N$5:$N$332,"")</f>
        <v>8</v>
      </c>
      <c r="J136" s="18">
        <f t="shared" si="13"/>
        <v>0</v>
      </c>
      <c r="K136" s="13">
        <f>IFERROR(INDEX(Lists!$L$5:$L$20,MATCH(INDEX(Lists!$C$5:$C$34,MATCH(B136,Lists!$A$5:$A$34,0))&amp;"|"&amp;D136,Lists!$I$5:$I$20,0)),"")</f>
        <v>74</v>
      </c>
      <c r="L136" s="19">
        <f t="shared" si="14"/>
        <v>0</v>
      </c>
      <c r="M136" s="15">
        <f t="shared" si="15"/>
        <v>592</v>
      </c>
      <c r="N136" s="20">
        <f t="shared" si="16"/>
        <v>0</v>
      </c>
      <c r="O136" s="10" t="str">
        <f t="shared" si="17"/>
        <v>OK</v>
      </c>
    </row>
    <row r="137" spans="1:15" x14ac:dyDescent="0.25">
      <c r="A137" s="7" t="s">
        <v>545</v>
      </c>
      <c r="B137" s="7" t="s">
        <v>136</v>
      </c>
      <c r="C137" s="9">
        <v>46283</v>
      </c>
      <c r="D137" s="7" t="s">
        <v>74</v>
      </c>
      <c r="E137" s="11">
        <v>8</v>
      </c>
      <c r="F137" s="12">
        <v>86</v>
      </c>
      <c r="G137" s="16">
        <v>688</v>
      </c>
      <c r="H137" s="10" t="str">
        <f t="shared" si="12"/>
        <v>E008|20260918|P104</v>
      </c>
      <c r="I137" s="17">
        <f>SUMIFS(Time_Entries!$J$5:$J$332,Time_Entries!$M$5:$M$332,H137,Time_Entries!$N$5:$N$332,"")</f>
        <v>8</v>
      </c>
      <c r="J137" s="18">
        <f t="shared" si="13"/>
        <v>0</v>
      </c>
      <c r="K137" s="13">
        <f>IFERROR(INDEX(Lists!$L$5:$L$20,MATCH(INDEX(Lists!$C$5:$C$34,MATCH(B137,Lists!$A$5:$A$34,0))&amp;"|"&amp;D137,Lists!$I$5:$I$20,0)),"")</f>
        <v>86</v>
      </c>
      <c r="L137" s="19">
        <f t="shared" si="14"/>
        <v>0</v>
      </c>
      <c r="M137" s="15">
        <f t="shared" si="15"/>
        <v>688</v>
      </c>
      <c r="N137" s="20">
        <f t="shared" si="16"/>
        <v>0</v>
      </c>
      <c r="O137" s="10" t="str">
        <f t="shared" si="17"/>
        <v>OK</v>
      </c>
    </row>
    <row r="138" spans="1:15" x14ac:dyDescent="0.25">
      <c r="A138" s="7" t="s">
        <v>546</v>
      </c>
      <c r="B138" s="7" t="s">
        <v>158</v>
      </c>
      <c r="C138" s="9">
        <v>46283</v>
      </c>
      <c r="D138" s="7" t="s">
        <v>46</v>
      </c>
      <c r="E138" s="11">
        <v>4</v>
      </c>
      <c r="F138" s="12">
        <v>110</v>
      </c>
      <c r="G138" s="16">
        <v>440</v>
      </c>
      <c r="H138" s="10" t="str">
        <f t="shared" si="12"/>
        <v>E010|20260918|P102</v>
      </c>
      <c r="I138" s="17">
        <f>SUMIFS(Time_Entries!$J$5:$J$332,Time_Entries!$M$5:$M$332,H138,Time_Entries!$N$5:$N$332,"")</f>
        <v>4</v>
      </c>
      <c r="J138" s="18">
        <f t="shared" si="13"/>
        <v>0</v>
      </c>
      <c r="K138" s="13">
        <f>IFERROR(INDEX(Lists!$L$5:$L$20,MATCH(INDEX(Lists!$C$5:$C$34,MATCH(B138,Lists!$A$5:$A$34,0))&amp;"|"&amp;D138,Lists!$I$5:$I$20,0)),"")</f>
        <v>110</v>
      </c>
      <c r="L138" s="19">
        <f t="shared" si="14"/>
        <v>0</v>
      </c>
      <c r="M138" s="15">
        <f t="shared" si="15"/>
        <v>440</v>
      </c>
      <c r="N138" s="20">
        <f t="shared" si="16"/>
        <v>0</v>
      </c>
      <c r="O138" s="10" t="str">
        <f t="shared" si="17"/>
        <v>OK</v>
      </c>
    </row>
    <row r="139" spans="1:15" x14ac:dyDescent="0.25">
      <c r="A139" s="7" t="s">
        <v>547</v>
      </c>
      <c r="B139" s="7" t="s">
        <v>170</v>
      </c>
      <c r="C139" s="9">
        <v>46283</v>
      </c>
      <c r="D139" s="7" t="s">
        <v>50</v>
      </c>
      <c r="E139" s="11">
        <v>8</v>
      </c>
      <c r="F139" s="12">
        <v>100</v>
      </c>
      <c r="G139" s="16">
        <v>800</v>
      </c>
      <c r="H139" s="10" t="str">
        <f t="shared" si="12"/>
        <v>E011|20260918|P103</v>
      </c>
      <c r="I139" s="17">
        <f>SUMIFS(Time_Entries!$J$5:$J$332,Time_Entries!$M$5:$M$332,H139,Time_Entries!$N$5:$N$332,"")</f>
        <v>8</v>
      </c>
      <c r="J139" s="18">
        <f t="shared" si="13"/>
        <v>0</v>
      </c>
      <c r="K139" s="13">
        <f>IFERROR(INDEX(Lists!$L$5:$L$20,MATCH(INDEX(Lists!$C$5:$C$34,MATCH(B139,Lists!$A$5:$A$34,0))&amp;"|"&amp;D139,Lists!$I$5:$I$20,0)),"")</f>
        <v>100</v>
      </c>
      <c r="L139" s="19">
        <f t="shared" si="14"/>
        <v>0</v>
      </c>
      <c r="M139" s="15">
        <f t="shared" si="15"/>
        <v>800</v>
      </c>
      <c r="N139" s="20">
        <f t="shared" si="16"/>
        <v>0</v>
      </c>
      <c r="O139" s="10" t="str">
        <f t="shared" si="17"/>
        <v>OK</v>
      </c>
    </row>
    <row r="140" spans="1:15" x14ac:dyDescent="0.25">
      <c r="A140" s="7" t="s">
        <v>548</v>
      </c>
      <c r="B140" s="7" t="s">
        <v>180</v>
      </c>
      <c r="C140" s="9">
        <v>46283</v>
      </c>
      <c r="D140" s="7" t="s">
        <v>74</v>
      </c>
      <c r="E140" s="11">
        <v>8</v>
      </c>
      <c r="F140" s="12">
        <v>116</v>
      </c>
      <c r="G140" s="16">
        <v>928</v>
      </c>
      <c r="H140" s="10" t="str">
        <f t="shared" si="12"/>
        <v>E012|20260918|P104</v>
      </c>
      <c r="I140" s="17">
        <f>SUMIFS(Time_Entries!$J$5:$J$332,Time_Entries!$M$5:$M$332,H140,Time_Entries!$N$5:$N$332,"")</f>
        <v>8</v>
      </c>
      <c r="J140" s="18">
        <f t="shared" si="13"/>
        <v>0</v>
      </c>
      <c r="K140" s="13">
        <f>IFERROR(INDEX(Lists!$L$5:$L$20,MATCH(INDEX(Lists!$C$5:$C$34,MATCH(B140,Lists!$A$5:$A$34,0))&amp;"|"&amp;D140,Lists!$I$5:$I$20,0)),"")</f>
        <v>116</v>
      </c>
      <c r="L140" s="19">
        <f t="shared" si="14"/>
        <v>0</v>
      </c>
      <c r="M140" s="15">
        <f t="shared" si="15"/>
        <v>928</v>
      </c>
      <c r="N140" s="20">
        <f t="shared" si="16"/>
        <v>0</v>
      </c>
      <c r="O140" s="10" t="str">
        <f t="shared" si="17"/>
        <v>OK</v>
      </c>
    </row>
    <row r="141" spans="1:15" x14ac:dyDescent="0.25">
      <c r="A141" s="7" t="s">
        <v>549</v>
      </c>
      <c r="B141" s="7" t="s">
        <v>194</v>
      </c>
      <c r="C141" s="9">
        <v>46283</v>
      </c>
      <c r="D141" s="7" t="s">
        <v>41</v>
      </c>
      <c r="E141" s="11">
        <v>8</v>
      </c>
      <c r="F141" s="12">
        <v>105</v>
      </c>
      <c r="G141" s="16">
        <v>840</v>
      </c>
      <c r="H141" s="10" t="str">
        <f t="shared" si="12"/>
        <v>E013|20260918|P101</v>
      </c>
      <c r="I141" s="17">
        <f>SUMIFS(Time_Entries!$J$5:$J$332,Time_Entries!$M$5:$M$332,H141,Time_Entries!$N$5:$N$332,"")</f>
        <v>8</v>
      </c>
      <c r="J141" s="18">
        <f t="shared" si="13"/>
        <v>0</v>
      </c>
      <c r="K141" s="13">
        <f>IFERROR(INDEX(Lists!$L$5:$L$20,MATCH(INDEX(Lists!$C$5:$C$34,MATCH(B141,Lists!$A$5:$A$34,0))&amp;"|"&amp;D141,Lists!$I$5:$I$20,0)),"")</f>
        <v>105</v>
      </c>
      <c r="L141" s="19">
        <f t="shared" si="14"/>
        <v>0</v>
      </c>
      <c r="M141" s="15">
        <f t="shared" si="15"/>
        <v>840</v>
      </c>
      <c r="N141" s="20">
        <f t="shared" si="16"/>
        <v>0</v>
      </c>
      <c r="O141" s="10" t="str">
        <f t="shared" si="17"/>
        <v>OK</v>
      </c>
    </row>
    <row r="142" spans="1:15" x14ac:dyDescent="0.25">
      <c r="A142" s="7" t="s">
        <v>550</v>
      </c>
      <c r="B142" s="7" t="s">
        <v>206</v>
      </c>
      <c r="C142" s="9">
        <v>46283</v>
      </c>
      <c r="D142" s="7" t="s">
        <v>46</v>
      </c>
      <c r="E142" s="11">
        <v>8</v>
      </c>
      <c r="F142" s="12">
        <v>110</v>
      </c>
      <c r="G142" s="16">
        <v>880</v>
      </c>
      <c r="H142" s="10" t="str">
        <f t="shared" si="12"/>
        <v>E014|20260918|P102</v>
      </c>
      <c r="I142" s="17">
        <f>SUMIFS(Time_Entries!$J$5:$J$332,Time_Entries!$M$5:$M$332,H142,Time_Entries!$N$5:$N$332,"")</f>
        <v>8</v>
      </c>
      <c r="J142" s="18">
        <f t="shared" si="13"/>
        <v>0</v>
      </c>
      <c r="K142" s="13">
        <f>IFERROR(INDEX(Lists!$L$5:$L$20,MATCH(INDEX(Lists!$C$5:$C$34,MATCH(B142,Lists!$A$5:$A$34,0))&amp;"|"&amp;D142,Lists!$I$5:$I$20,0)),"")</f>
        <v>110</v>
      </c>
      <c r="L142" s="19">
        <f t="shared" si="14"/>
        <v>0</v>
      </c>
      <c r="M142" s="15">
        <f t="shared" si="15"/>
        <v>880</v>
      </c>
      <c r="N142" s="20">
        <f t="shared" si="16"/>
        <v>0</v>
      </c>
      <c r="O142" s="10" t="str">
        <f t="shared" si="17"/>
        <v>OK</v>
      </c>
    </row>
    <row r="143" spans="1:15" x14ac:dyDescent="0.25">
      <c r="A143" s="7" t="s">
        <v>551</v>
      </c>
      <c r="B143" s="7" t="s">
        <v>217</v>
      </c>
      <c r="C143" s="9">
        <v>46283</v>
      </c>
      <c r="D143" s="7" t="s">
        <v>50</v>
      </c>
      <c r="E143" s="11">
        <v>8</v>
      </c>
      <c r="F143" s="12">
        <v>100</v>
      </c>
      <c r="G143" s="16">
        <v>800</v>
      </c>
      <c r="H143" s="10" t="str">
        <f t="shared" si="12"/>
        <v>E015|20260918|P103</v>
      </c>
      <c r="I143" s="17">
        <f>SUMIFS(Time_Entries!$J$5:$J$332,Time_Entries!$M$5:$M$332,H143,Time_Entries!$N$5:$N$332,"")</f>
        <v>8</v>
      </c>
      <c r="J143" s="18">
        <f t="shared" si="13"/>
        <v>0</v>
      </c>
      <c r="K143" s="13">
        <f>IFERROR(INDEX(Lists!$L$5:$L$20,MATCH(INDEX(Lists!$C$5:$C$34,MATCH(B143,Lists!$A$5:$A$34,0))&amp;"|"&amp;D143,Lists!$I$5:$I$20,0)),"")</f>
        <v>100</v>
      </c>
      <c r="L143" s="19">
        <f t="shared" si="14"/>
        <v>0</v>
      </c>
      <c r="M143" s="15">
        <f t="shared" si="15"/>
        <v>800</v>
      </c>
      <c r="N143" s="20">
        <f t="shared" si="16"/>
        <v>0</v>
      </c>
      <c r="O143" s="10" t="str">
        <f t="shared" si="17"/>
        <v>OK</v>
      </c>
    </row>
    <row r="144" spans="1:15" x14ac:dyDescent="0.25">
      <c r="A144" s="7" t="s">
        <v>552</v>
      </c>
      <c r="B144" s="7" t="s">
        <v>229</v>
      </c>
      <c r="C144" s="9">
        <v>46283</v>
      </c>
      <c r="D144" s="7" t="s">
        <v>74</v>
      </c>
      <c r="E144" s="11">
        <v>6</v>
      </c>
      <c r="F144" s="12">
        <v>130</v>
      </c>
      <c r="G144" s="16">
        <v>780</v>
      </c>
      <c r="H144" s="10" t="str">
        <f t="shared" si="12"/>
        <v>E016|20260918|P104</v>
      </c>
      <c r="I144" s="17">
        <f>SUMIFS(Time_Entries!$J$5:$J$332,Time_Entries!$M$5:$M$332,H144,Time_Entries!$N$5:$N$332,"")</f>
        <v>8</v>
      </c>
      <c r="J144" s="18">
        <f t="shared" si="13"/>
        <v>-2</v>
      </c>
      <c r="K144" s="13">
        <f>IFERROR(INDEX(Lists!$L$5:$L$20,MATCH(INDEX(Lists!$C$5:$C$34,MATCH(B144,Lists!$A$5:$A$34,0))&amp;"|"&amp;D144,Lists!$I$5:$I$20,0)),"")</f>
        <v>130</v>
      </c>
      <c r="L144" s="19">
        <f t="shared" si="14"/>
        <v>0</v>
      </c>
      <c r="M144" s="15">
        <f t="shared" si="15"/>
        <v>1040</v>
      </c>
      <c r="N144" s="20">
        <f t="shared" si="16"/>
        <v>-260</v>
      </c>
      <c r="O144" s="10" t="str">
        <f t="shared" si="17"/>
        <v>HOURS</v>
      </c>
    </row>
    <row r="145" spans="1:15" x14ac:dyDescent="0.25">
      <c r="A145" s="7" t="s">
        <v>553</v>
      </c>
      <c r="B145" s="7" t="s">
        <v>240</v>
      </c>
      <c r="C145" s="9">
        <v>46283</v>
      </c>
      <c r="D145" s="7" t="s">
        <v>41</v>
      </c>
      <c r="E145" s="11">
        <v>8</v>
      </c>
      <c r="F145" s="12">
        <v>118</v>
      </c>
      <c r="G145" s="16">
        <v>944</v>
      </c>
      <c r="H145" s="10" t="str">
        <f t="shared" si="12"/>
        <v>E017|20260918|P101</v>
      </c>
      <c r="I145" s="17">
        <f>SUMIFS(Time_Entries!$J$5:$J$332,Time_Entries!$M$5:$M$332,H145,Time_Entries!$N$5:$N$332,"")</f>
        <v>8</v>
      </c>
      <c r="J145" s="18">
        <f t="shared" si="13"/>
        <v>0</v>
      </c>
      <c r="K145" s="13">
        <f>IFERROR(INDEX(Lists!$L$5:$L$20,MATCH(INDEX(Lists!$C$5:$C$34,MATCH(B145,Lists!$A$5:$A$34,0))&amp;"|"&amp;D145,Lists!$I$5:$I$20,0)),"")</f>
        <v>118</v>
      </c>
      <c r="L145" s="19">
        <f t="shared" si="14"/>
        <v>0</v>
      </c>
      <c r="M145" s="15">
        <f t="shared" si="15"/>
        <v>944</v>
      </c>
      <c r="N145" s="20">
        <f t="shared" si="16"/>
        <v>0</v>
      </c>
      <c r="O145" s="10" t="str">
        <f t="shared" si="17"/>
        <v>OK</v>
      </c>
    </row>
    <row r="146" spans="1:15" x14ac:dyDescent="0.25">
      <c r="A146" s="7" t="s">
        <v>554</v>
      </c>
      <c r="B146" s="7" t="s">
        <v>250</v>
      </c>
      <c r="C146" s="9">
        <v>46283</v>
      </c>
      <c r="D146" s="7" t="s">
        <v>46</v>
      </c>
      <c r="E146" s="11">
        <v>8</v>
      </c>
      <c r="F146" s="12">
        <v>124</v>
      </c>
      <c r="G146" s="16">
        <v>992</v>
      </c>
      <c r="H146" s="10" t="str">
        <f t="shared" si="12"/>
        <v>E018|20260918|P102</v>
      </c>
      <c r="I146" s="17">
        <f>SUMIFS(Time_Entries!$J$5:$J$332,Time_Entries!$M$5:$M$332,H146,Time_Entries!$N$5:$N$332,"")</f>
        <v>8</v>
      </c>
      <c r="J146" s="18">
        <f t="shared" si="13"/>
        <v>0</v>
      </c>
      <c r="K146" s="13">
        <f>IFERROR(INDEX(Lists!$L$5:$L$20,MATCH(INDEX(Lists!$C$5:$C$34,MATCH(B146,Lists!$A$5:$A$34,0))&amp;"|"&amp;D146,Lists!$I$5:$I$20,0)),"")</f>
        <v>124</v>
      </c>
      <c r="L146" s="19">
        <f t="shared" si="14"/>
        <v>0</v>
      </c>
      <c r="M146" s="15">
        <f t="shared" si="15"/>
        <v>992</v>
      </c>
      <c r="N146" s="20">
        <f t="shared" si="16"/>
        <v>0</v>
      </c>
      <c r="O146" s="10" t="str">
        <f t="shared" si="17"/>
        <v>OK</v>
      </c>
    </row>
    <row r="147" spans="1:15" x14ac:dyDescent="0.25">
      <c r="A147" s="7" t="s">
        <v>555</v>
      </c>
      <c r="B147" s="7" t="s">
        <v>262</v>
      </c>
      <c r="C147" s="9">
        <v>46283</v>
      </c>
      <c r="D147" s="7" t="s">
        <v>50</v>
      </c>
      <c r="E147" s="11">
        <v>8</v>
      </c>
      <c r="F147" s="12">
        <v>112</v>
      </c>
      <c r="G147" s="16">
        <v>896</v>
      </c>
      <c r="H147" s="10" t="str">
        <f t="shared" si="12"/>
        <v>E019|20260918|P103</v>
      </c>
      <c r="I147" s="17">
        <f>SUMIFS(Time_Entries!$J$5:$J$332,Time_Entries!$M$5:$M$332,H147,Time_Entries!$N$5:$N$332,"")</f>
        <v>8</v>
      </c>
      <c r="J147" s="18">
        <f t="shared" si="13"/>
        <v>0</v>
      </c>
      <c r="K147" s="13">
        <f>IFERROR(INDEX(Lists!$L$5:$L$20,MATCH(INDEX(Lists!$C$5:$C$34,MATCH(B147,Lists!$A$5:$A$34,0))&amp;"|"&amp;D147,Lists!$I$5:$I$20,0)),"")</f>
        <v>112</v>
      </c>
      <c r="L147" s="19">
        <f t="shared" si="14"/>
        <v>0</v>
      </c>
      <c r="M147" s="15">
        <f t="shared" si="15"/>
        <v>896</v>
      </c>
      <c r="N147" s="20">
        <f t="shared" si="16"/>
        <v>0</v>
      </c>
      <c r="O147" s="10" t="str">
        <f t="shared" si="17"/>
        <v>OK</v>
      </c>
    </row>
    <row r="148" spans="1:15" x14ac:dyDescent="0.25">
      <c r="A148" s="7" t="s">
        <v>556</v>
      </c>
      <c r="B148" s="7" t="s">
        <v>273</v>
      </c>
      <c r="C148" s="9">
        <v>46283</v>
      </c>
      <c r="D148" s="7" t="s">
        <v>74</v>
      </c>
      <c r="E148" s="11">
        <v>8</v>
      </c>
      <c r="F148" s="12">
        <v>130</v>
      </c>
      <c r="G148" s="16">
        <v>1040</v>
      </c>
      <c r="H148" s="10" t="str">
        <f t="shared" si="12"/>
        <v>E020|20260918|P104</v>
      </c>
      <c r="I148" s="17">
        <f>SUMIFS(Time_Entries!$J$5:$J$332,Time_Entries!$M$5:$M$332,H148,Time_Entries!$N$5:$N$332,"")</f>
        <v>8</v>
      </c>
      <c r="J148" s="18">
        <f t="shared" si="13"/>
        <v>0</v>
      </c>
      <c r="K148" s="13">
        <f>IFERROR(INDEX(Lists!$L$5:$L$20,MATCH(INDEX(Lists!$C$5:$C$34,MATCH(B148,Lists!$A$5:$A$34,0))&amp;"|"&amp;D148,Lists!$I$5:$I$20,0)),"")</f>
        <v>130</v>
      </c>
      <c r="L148" s="19">
        <f t="shared" si="14"/>
        <v>0</v>
      </c>
      <c r="M148" s="15">
        <f t="shared" si="15"/>
        <v>1040</v>
      </c>
      <c r="N148" s="20">
        <f t="shared" si="16"/>
        <v>0</v>
      </c>
      <c r="O148" s="10" t="str">
        <f t="shared" si="17"/>
        <v>OK</v>
      </c>
    </row>
    <row r="149" spans="1:15" x14ac:dyDescent="0.25">
      <c r="A149" s="7" t="s">
        <v>557</v>
      </c>
      <c r="B149" s="7" t="s">
        <v>284</v>
      </c>
      <c r="C149" s="9">
        <v>46283</v>
      </c>
      <c r="D149" s="7" t="s">
        <v>41</v>
      </c>
      <c r="E149" s="11">
        <v>8</v>
      </c>
      <c r="F149" s="12">
        <v>118</v>
      </c>
      <c r="G149" s="16">
        <v>944</v>
      </c>
      <c r="H149" s="10" t="str">
        <f t="shared" si="12"/>
        <v>E021|20260918|P101</v>
      </c>
      <c r="I149" s="17">
        <f>SUMIFS(Time_Entries!$J$5:$J$332,Time_Entries!$M$5:$M$332,H149,Time_Entries!$N$5:$N$332,"")</f>
        <v>8</v>
      </c>
      <c r="J149" s="18">
        <f t="shared" si="13"/>
        <v>0</v>
      </c>
      <c r="K149" s="13">
        <f>IFERROR(INDEX(Lists!$L$5:$L$20,MATCH(INDEX(Lists!$C$5:$C$34,MATCH(B149,Lists!$A$5:$A$34,0))&amp;"|"&amp;D149,Lists!$I$5:$I$20,0)),"")</f>
        <v>118</v>
      </c>
      <c r="L149" s="19">
        <f t="shared" si="14"/>
        <v>0</v>
      </c>
      <c r="M149" s="15">
        <f t="shared" si="15"/>
        <v>944</v>
      </c>
      <c r="N149" s="20">
        <f t="shared" si="16"/>
        <v>0</v>
      </c>
      <c r="O149" s="10" t="str">
        <f t="shared" si="17"/>
        <v>OK</v>
      </c>
    </row>
    <row r="150" spans="1:15" x14ac:dyDescent="0.25">
      <c r="A150" s="7" t="s">
        <v>558</v>
      </c>
      <c r="B150" s="7" t="s">
        <v>295</v>
      </c>
      <c r="C150" s="9">
        <v>46283</v>
      </c>
      <c r="D150" s="7" t="s">
        <v>46</v>
      </c>
      <c r="E150" s="11">
        <v>8</v>
      </c>
      <c r="F150" s="12">
        <v>124</v>
      </c>
      <c r="G150" s="16">
        <v>992</v>
      </c>
      <c r="H150" s="10" t="str">
        <f t="shared" si="12"/>
        <v>E022|20260918|P102</v>
      </c>
      <c r="I150" s="17">
        <f>SUMIFS(Time_Entries!$J$5:$J$332,Time_Entries!$M$5:$M$332,H150,Time_Entries!$N$5:$N$332,"")</f>
        <v>8</v>
      </c>
      <c r="J150" s="18">
        <f t="shared" si="13"/>
        <v>0</v>
      </c>
      <c r="K150" s="13">
        <f>IFERROR(INDEX(Lists!$L$5:$L$20,MATCH(INDEX(Lists!$C$5:$C$34,MATCH(B150,Lists!$A$5:$A$34,0))&amp;"|"&amp;D150,Lists!$I$5:$I$20,0)),"")</f>
        <v>124</v>
      </c>
      <c r="L150" s="19">
        <f t="shared" si="14"/>
        <v>0</v>
      </c>
      <c r="M150" s="15">
        <f t="shared" si="15"/>
        <v>992</v>
      </c>
      <c r="N150" s="20">
        <f t="shared" si="16"/>
        <v>0</v>
      </c>
      <c r="O150" s="10" t="str">
        <f t="shared" si="17"/>
        <v>OK</v>
      </c>
    </row>
    <row r="151" spans="1:15" x14ac:dyDescent="0.25">
      <c r="A151" s="7" t="s">
        <v>559</v>
      </c>
      <c r="B151" s="7" t="s">
        <v>307</v>
      </c>
      <c r="C151" s="9">
        <v>46283</v>
      </c>
      <c r="D151" s="7" t="s">
        <v>50</v>
      </c>
      <c r="E151" s="11">
        <v>8</v>
      </c>
      <c r="F151" s="12">
        <v>112</v>
      </c>
      <c r="G151" s="16">
        <v>896</v>
      </c>
      <c r="H151" s="10" t="str">
        <f t="shared" si="12"/>
        <v>E023|20260918|P103</v>
      </c>
      <c r="I151" s="17">
        <f>SUMIFS(Time_Entries!$J$5:$J$332,Time_Entries!$M$5:$M$332,H151,Time_Entries!$N$5:$N$332,"")</f>
        <v>8</v>
      </c>
      <c r="J151" s="18">
        <f t="shared" si="13"/>
        <v>0</v>
      </c>
      <c r="K151" s="13">
        <f>IFERROR(INDEX(Lists!$L$5:$L$20,MATCH(INDEX(Lists!$C$5:$C$34,MATCH(B151,Lists!$A$5:$A$34,0))&amp;"|"&amp;D151,Lists!$I$5:$I$20,0)),"")</f>
        <v>112</v>
      </c>
      <c r="L151" s="19">
        <f t="shared" si="14"/>
        <v>0</v>
      </c>
      <c r="M151" s="15">
        <f t="shared" si="15"/>
        <v>896</v>
      </c>
      <c r="N151" s="20">
        <f t="shared" si="16"/>
        <v>0</v>
      </c>
      <c r="O151" s="10" t="str">
        <f t="shared" si="17"/>
        <v>OK</v>
      </c>
    </row>
    <row r="152" spans="1:15" x14ac:dyDescent="0.25">
      <c r="A152" s="7" t="s">
        <v>560</v>
      </c>
      <c r="B152" s="7" t="s">
        <v>317</v>
      </c>
      <c r="C152" s="9">
        <v>46283</v>
      </c>
      <c r="D152" s="7" t="s">
        <v>74</v>
      </c>
      <c r="E152" s="11">
        <v>8</v>
      </c>
      <c r="F152" s="12">
        <v>130</v>
      </c>
      <c r="G152" s="16">
        <v>1040</v>
      </c>
      <c r="H152" s="10" t="str">
        <f t="shared" si="12"/>
        <v>E024|20260918|P104</v>
      </c>
      <c r="I152" s="17">
        <f>SUMIFS(Time_Entries!$J$5:$J$332,Time_Entries!$M$5:$M$332,H152,Time_Entries!$N$5:$N$332,"")</f>
        <v>8</v>
      </c>
      <c r="J152" s="18">
        <f t="shared" si="13"/>
        <v>0</v>
      </c>
      <c r="K152" s="13">
        <f>IFERROR(INDEX(Lists!$L$5:$L$20,MATCH(INDEX(Lists!$C$5:$C$34,MATCH(B152,Lists!$A$5:$A$34,0))&amp;"|"&amp;D152,Lists!$I$5:$I$20,0)),"")</f>
        <v>130</v>
      </c>
      <c r="L152" s="19">
        <f t="shared" si="14"/>
        <v>0</v>
      </c>
      <c r="M152" s="15">
        <f t="shared" si="15"/>
        <v>1040</v>
      </c>
      <c r="N152" s="20">
        <f t="shared" si="16"/>
        <v>0</v>
      </c>
      <c r="O152" s="10" t="str">
        <f t="shared" si="17"/>
        <v>OK</v>
      </c>
    </row>
    <row r="153" spans="1:15" x14ac:dyDescent="0.25">
      <c r="A153" s="7" t="s">
        <v>561</v>
      </c>
      <c r="B153" s="7" t="s">
        <v>329</v>
      </c>
      <c r="C153" s="9">
        <v>46283</v>
      </c>
      <c r="D153" s="7" t="s">
        <v>41</v>
      </c>
      <c r="E153" s="11">
        <v>8</v>
      </c>
      <c r="F153" s="12">
        <v>98</v>
      </c>
      <c r="G153" s="16">
        <v>784</v>
      </c>
      <c r="H153" s="10" t="str">
        <f t="shared" si="12"/>
        <v>E025|20260918|P101</v>
      </c>
      <c r="I153" s="17">
        <f>SUMIFS(Time_Entries!$J$5:$J$332,Time_Entries!$M$5:$M$332,H153,Time_Entries!$N$5:$N$332,"")</f>
        <v>8</v>
      </c>
      <c r="J153" s="18">
        <f t="shared" si="13"/>
        <v>0</v>
      </c>
      <c r="K153" s="13">
        <f>IFERROR(INDEX(Lists!$L$5:$L$20,MATCH(INDEX(Lists!$C$5:$C$34,MATCH(B153,Lists!$A$5:$A$34,0))&amp;"|"&amp;D153,Lists!$I$5:$I$20,0)),"")</f>
        <v>98</v>
      </c>
      <c r="L153" s="19">
        <f t="shared" si="14"/>
        <v>0</v>
      </c>
      <c r="M153" s="15">
        <f t="shared" si="15"/>
        <v>784</v>
      </c>
      <c r="N153" s="20">
        <f t="shared" si="16"/>
        <v>0</v>
      </c>
      <c r="O153" s="10" t="str">
        <f t="shared" si="17"/>
        <v>OK</v>
      </c>
    </row>
    <row r="154" spans="1:15" x14ac:dyDescent="0.25">
      <c r="A154" s="7" t="s">
        <v>562</v>
      </c>
      <c r="B154" s="7" t="s">
        <v>342</v>
      </c>
      <c r="C154" s="9">
        <v>46283</v>
      </c>
      <c r="D154" s="7" t="s">
        <v>46</v>
      </c>
      <c r="E154" s="11">
        <v>8</v>
      </c>
      <c r="F154" s="12">
        <v>103</v>
      </c>
      <c r="G154" s="16">
        <v>824</v>
      </c>
      <c r="H154" s="10" t="str">
        <f t="shared" si="12"/>
        <v>E026|20260918|P102</v>
      </c>
      <c r="I154" s="17">
        <f>SUMIFS(Time_Entries!$J$5:$J$332,Time_Entries!$M$5:$M$332,H154,Time_Entries!$N$5:$N$332,"")</f>
        <v>8</v>
      </c>
      <c r="J154" s="18">
        <f t="shared" si="13"/>
        <v>0</v>
      </c>
      <c r="K154" s="13">
        <f>IFERROR(INDEX(Lists!$L$5:$L$20,MATCH(INDEX(Lists!$C$5:$C$34,MATCH(B154,Lists!$A$5:$A$34,0))&amp;"|"&amp;D154,Lists!$I$5:$I$20,0)),"")</f>
        <v>103</v>
      </c>
      <c r="L154" s="19">
        <f t="shared" si="14"/>
        <v>0</v>
      </c>
      <c r="M154" s="15">
        <f t="shared" si="15"/>
        <v>824</v>
      </c>
      <c r="N154" s="20">
        <f t="shared" si="16"/>
        <v>0</v>
      </c>
      <c r="O154" s="10" t="str">
        <f t="shared" si="17"/>
        <v>OK</v>
      </c>
    </row>
    <row r="155" spans="1:15" x14ac:dyDescent="0.25">
      <c r="A155" s="7" t="s">
        <v>563</v>
      </c>
      <c r="B155" s="7" t="s">
        <v>352</v>
      </c>
      <c r="C155" s="9">
        <v>46283</v>
      </c>
      <c r="D155" s="7" t="s">
        <v>50</v>
      </c>
      <c r="E155" s="11">
        <v>8</v>
      </c>
      <c r="F155" s="12">
        <v>93</v>
      </c>
      <c r="G155" s="16">
        <v>744</v>
      </c>
      <c r="H155" s="10" t="str">
        <f t="shared" si="12"/>
        <v>E027|20260918|P103</v>
      </c>
      <c r="I155" s="17">
        <f>SUMIFS(Time_Entries!$J$5:$J$332,Time_Entries!$M$5:$M$332,H155,Time_Entries!$N$5:$N$332,"")</f>
        <v>8</v>
      </c>
      <c r="J155" s="18">
        <f t="shared" si="13"/>
        <v>0</v>
      </c>
      <c r="K155" s="13">
        <f>IFERROR(INDEX(Lists!$L$5:$L$20,MATCH(INDEX(Lists!$C$5:$C$34,MATCH(B155,Lists!$A$5:$A$34,0))&amp;"|"&amp;D155,Lists!$I$5:$I$20,0)),"")</f>
        <v>93</v>
      </c>
      <c r="L155" s="19">
        <f t="shared" si="14"/>
        <v>0</v>
      </c>
      <c r="M155" s="15">
        <f t="shared" si="15"/>
        <v>744</v>
      </c>
      <c r="N155" s="20">
        <f t="shared" si="16"/>
        <v>0</v>
      </c>
      <c r="O155" s="10" t="str">
        <f t="shared" si="17"/>
        <v>OK</v>
      </c>
    </row>
    <row r="156" spans="1:15" x14ac:dyDescent="0.25">
      <c r="A156" s="7" t="s">
        <v>564</v>
      </c>
      <c r="B156" s="7" t="s">
        <v>363</v>
      </c>
      <c r="C156" s="9">
        <v>46283</v>
      </c>
      <c r="D156" s="7" t="s">
        <v>74</v>
      </c>
      <c r="E156" s="11">
        <v>8</v>
      </c>
      <c r="F156" s="12">
        <v>108</v>
      </c>
      <c r="G156" s="16">
        <v>864</v>
      </c>
      <c r="H156" s="10" t="str">
        <f t="shared" si="12"/>
        <v>E028|20260918|P104</v>
      </c>
      <c r="I156" s="17">
        <f>SUMIFS(Time_Entries!$J$5:$J$332,Time_Entries!$M$5:$M$332,H156,Time_Entries!$N$5:$N$332,"")</f>
        <v>8</v>
      </c>
      <c r="J156" s="18">
        <f t="shared" si="13"/>
        <v>0</v>
      </c>
      <c r="K156" s="13">
        <f>IFERROR(INDEX(Lists!$L$5:$L$20,MATCH(INDEX(Lists!$C$5:$C$34,MATCH(B156,Lists!$A$5:$A$34,0))&amp;"|"&amp;D156,Lists!$I$5:$I$20,0)),"")</f>
        <v>108</v>
      </c>
      <c r="L156" s="19">
        <f t="shared" si="14"/>
        <v>0</v>
      </c>
      <c r="M156" s="15">
        <f t="shared" si="15"/>
        <v>864</v>
      </c>
      <c r="N156" s="20">
        <f t="shared" si="16"/>
        <v>0</v>
      </c>
      <c r="O156" s="10" t="str">
        <f t="shared" si="17"/>
        <v>OK</v>
      </c>
    </row>
    <row r="157" spans="1:15" x14ac:dyDescent="0.25">
      <c r="A157" s="7" t="s">
        <v>565</v>
      </c>
      <c r="B157" s="7" t="s">
        <v>375</v>
      </c>
      <c r="C157" s="9">
        <v>46283</v>
      </c>
      <c r="D157" s="7" t="s">
        <v>41</v>
      </c>
      <c r="E157" s="11">
        <v>8</v>
      </c>
      <c r="F157" s="12">
        <v>98</v>
      </c>
      <c r="G157" s="16">
        <v>784</v>
      </c>
      <c r="H157" s="10" t="str">
        <f t="shared" si="12"/>
        <v>E029|20260918|P101</v>
      </c>
      <c r="I157" s="17">
        <f>SUMIFS(Time_Entries!$J$5:$J$332,Time_Entries!$M$5:$M$332,H157,Time_Entries!$N$5:$N$332,"")</f>
        <v>8</v>
      </c>
      <c r="J157" s="18">
        <f t="shared" si="13"/>
        <v>0</v>
      </c>
      <c r="K157" s="13">
        <f>IFERROR(INDEX(Lists!$L$5:$L$20,MATCH(INDEX(Lists!$C$5:$C$34,MATCH(B157,Lists!$A$5:$A$34,0))&amp;"|"&amp;D157,Lists!$I$5:$I$20,0)),"")</f>
        <v>98</v>
      </c>
      <c r="L157" s="19">
        <f t="shared" si="14"/>
        <v>0</v>
      </c>
      <c r="M157" s="15">
        <f t="shared" si="15"/>
        <v>784</v>
      </c>
      <c r="N157" s="20">
        <f t="shared" si="16"/>
        <v>0</v>
      </c>
      <c r="O157" s="10" t="str">
        <f t="shared" si="17"/>
        <v>OK</v>
      </c>
    </row>
    <row r="158" spans="1:15" x14ac:dyDescent="0.25">
      <c r="A158" s="7" t="s">
        <v>566</v>
      </c>
      <c r="B158" s="7" t="s">
        <v>385</v>
      </c>
      <c r="C158" s="9">
        <v>46283</v>
      </c>
      <c r="D158" s="7" t="s">
        <v>46</v>
      </c>
      <c r="E158" s="11">
        <v>8</v>
      </c>
      <c r="F158" s="12">
        <v>103</v>
      </c>
      <c r="G158" s="16">
        <v>824</v>
      </c>
      <c r="H158" s="10" t="str">
        <f t="shared" si="12"/>
        <v>E030|20260918|P102</v>
      </c>
      <c r="I158" s="17">
        <f>SUMIFS(Time_Entries!$J$5:$J$332,Time_Entries!$M$5:$M$332,H158,Time_Entries!$N$5:$N$332,"")</f>
        <v>8</v>
      </c>
      <c r="J158" s="18">
        <f t="shared" si="13"/>
        <v>0</v>
      </c>
      <c r="K158" s="13">
        <f>IFERROR(INDEX(Lists!$L$5:$L$20,MATCH(INDEX(Lists!$C$5:$C$34,MATCH(B158,Lists!$A$5:$A$34,0))&amp;"|"&amp;D158,Lists!$I$5:$I$20,0)),"")</f>
        <v>103</v>
      </c>
      <c r="L158" s="19">
        <f t="shared" si="14"/>
        <v>0</v>
      </c>
      <c r="M158" s="15">
        <f t="shared" si="15"/>
        <v>824</v>
      </c>
      <c r="N158" s="20">
        <f t="shared" si="16"/>
        <v>0</v>
      </c>
      <c r="O158" s="10" t="str">
        <f t="shared" si="17"/>
        <v>OK</v>
      </c>
    </row>
    <row r="159" spans="1:15" x14ac:dyDescent="0.25">
      <c r="A159" s="7" t="s">
        <v>567</v>
      </c>
      <c r="B159" s="7" t="s">
        <v>72</v>
      </c>
      <c r="C159" s="9">
        <v>46284</v>
      </c>
      <c r="D159" s="7" t="s">
        <v>41</v>
      </c>
      <c r="E159" s="11">
        <v>6</v>
      </c>
      <c r="F159" s="12">
        <v>78</v>
      </c>
      <c r="G159" s="16">
        <v>468</v>
      </c>
      <c r="H159" s="10" t="str">
        <f t="shared" si="12"/>
        <v>E003|20260919|P101</v>
      </c>
      <c r="I159" s="17">
        <f>SUMIFS(Time_Entries!$J$5:$J$332,Time_Entries!$M$5:$M$332,H159,Time_Entries!$N$5:$N$332,"")</f>
        <v>6</v>
      </c>
      <c r="J159" s="18">
        <f t="shared" si="13"/>
        <v>0</v>
      </c>
      <c r="K159" s="13">
        <f>IFERROR(INDEX(Lists!$L$5:$L$20,MATCH(INDEX(Lists!$C$5:$C$34,MATCH(B159,Lists!$A$5:$A$34,0))&amp;"|"&amp;D159,Lists!$I$5:$I$20,0)),"")</f>
        <v>78</v>
      </c>
      <c r="L159" s="19">
        <f t="shared" si="14"/>
        <v>0</v>
      </c>
      <c r="M159" s="15">
        <f t="shared" si="15"/>
        <v>468</v>
      </c>
      <c r="N159" s="20">
        <f t="shared" si="16"/>
        <v>0</v>
      </c>
      <c r="O159" s="10" t="str">
        <f t="shared" si="17"/>
        <v>OK</v>
      </c>
    </row>
    <row r="160" spans="1:15" x14ac:dyDescent="0.25">
      <c r="A160" s="7" t="s">
        <v>568</v>
      </c>
      <c r="B160" s="7" t="s">
        <v>40</v>
      </c>
      <c r="C160" s="9">
        <v>46286</v>
      </c>
      <c r="D160" s="7" t="s">
        <v>41</v>
      </c>
      <c r="E160" s="11">
        <v>4</v>
      </c>
      <c r="F160" s="12">
        <v>78</v>
      </c>
      <c r="G160" s="16">
        <v>312</v>
      </c>
      <c r="H160" s="10" t="str">
        <f t="shared" si="12"/>
        <v>E001|20260921|P101</v>
      </c>
      <c r="I160" s="17">
        <f>SUMIFS(Time_Entries!$J$5:$J$332,Time_Entries!$M$5:$M$332,H160,Time_Entries!$N$5:$N$332,"")</f>
        <v>4</v>
      </c>
      <c r="J160" s="18">
        <f t="shared" si="13"/>
        <v>0</v>
      </c>
      <c r="K160" s="13">
        <f>IFERROR(INDEX(Lists!$L$5:$L$20,MATCH(INDEX(Lists!$C$5:$C$34,MATCH(B160,Lists!$A$5:$A$34,0))&amp;"|"&amp;D160,Lists!$I$5:$I$20,0)),"")</f>
        <v>78</v>
      </c>
      <c r="L160" s="19">
        <f t="shared" si="14"/>
        <v>0</v>
      </c>
      <c r="M160" s="15">
        <f t="shared" si="15"/>
        <v>312</v>
      </c>
      <c r="N160" s="20">
        <f t="shared" si="16"/>
        <v>0</v>
      </c>
      <c r="O160" s="10" t="str">
        <f t="shared" si="17"/>
        <v>OK</v>
      </c>
    </row>
    <row r="161" spans="1:15" x14ac:dyDescent="0.25">
      <c r="A161" s="7" t="s">
        <v>569</v>
      </c>
      <c r="B161" s="7" t="s">
        <v>40</v>
      </c>
      <c r="C161" s="9">
        <v>46286</v>
      </c>
      <c r="D161" s="7" t="s">
        <v>50</v>
      </c>
      <c r="E161" s="11">
        <v>4</v>
      </c>
      <c r="F161" s="12">
        <v>74</v>
      </c>
      <c r="G161" s="16">
        <v>296</v>
      </c>
      <c r="H161" s="10" t="str">
        <f t="shared" si="12"/>
        <v>E001|20260921|P103</v>
      </c>
      <c r="I161" s="17">
        <f>SUMIFS(Time_Entries!$J$5:$J$332,Time_Entries!$M$5:$M$332,H161,Time_Entries!$N$5:$N$332,"")</f>
        <v>4</v>
      </c>
      <c r="J161" s="18">
        <f t="shared" si="13"/>
        <v>0</v>
      </c>
      <c r="K161" s="13">
        <f>IFERROR(INDEX(Lists!$L$5:$L$20,MATCH(INDEX(Lists!$C$5:$C$34,MATCH(B161,Lists!$A$5:$A$34,0))&amp;"|"&amp;D161,Lists!$I$5:$I$20,0)),"")</f>
        <v>74</v>
      </c>
      <c r="L161" s="19">
        <f t="shared" si="14"/>
        <v>0</v>
      </c>
      <c r="M161" s="15">
        <f t="shared" si="15"/>
        <v>296</v>
      </c>
      <c r="N161" s="20">
        <f t="shared" si="16"/>
        <v>0</v>
      </c>
      <c r="O161" s="10" t="str">
        <f t="shared" si="17"/>
        <v>OK</v>
      </c>
    </row>
    <row r="162" spans="1:15" x14ac:dyDescent="0.25">
      <c r="A162" s="7" t="s">
        <v>570</v>
      </c>
      <c r="B162" s="7" t="s">
        <v>58</v>
      </c>
      <c r="C162" s="9">
        <v>46286</v>
      </c>
      <c r="D162" s="7" t="s">
        <v>46</v>
      </c>
      <c r="E162" s="11">
        <v>4</v>
      </c>
      <c r="F162" s="12">
        <v>82</v>
      </c>
      <c r="G162" s="16">
        <v>328</v>
      </c>
      <c r="H162" s="10" t="str">
        <f t="shared" si="12"/>
        <v>E002|20260921|P102</v>
      </c>
      <c r="I162" s="17">
        <f>SUMIFS(Time_Entries!$J$5:$J$332,Time_Entries!$M$5:$M$332,H162,Time_Entries!$N$5:$N$332,"")</f>
        <v>4</v>
      </c>
      <c r="J162" s="18">
        <f t="shared" si="13"/>
        <v>0</v>
      </c>
      <c r="K162" s="13">
        <f>IFERROR(INDEX(Lists!$L$5:$L$20,MATCH(INDEX(Lists!$C$5:$C$34,MATCH(B162,Lists!$A$5:$A$34,0))&amp;"|"&amp;D162,Lists!$I$5:$I$20,0)),"")</f>
        <v>82</v>
      </c>
      <c r="L162" s="19">
        <f t="shared" si="14"/>
        <v>0</v>
      </c>
      <c r="M162" s="15">
        <f t="shared" si="15"/>
        <v>328</v>
      </c>
      <c r="N162" s="20">
        <f t="shared" si="16"/>
        <v>0</v>
      </c>
      <c r="O162" s="10" t="str">
        <f t="shared" si="17"/>
        <v>OK</v>
      </c>
    </row>
    <row r="163" spans="1:15" x14ac:dyDescent="0.25">
      <c r="A163" s="7" t="s">
        <v>571</v>
      </c>
      <c r="B163" s="7" t="s">
        <v>72</v>
      </c>
      <c r="C163" s="9">
        <v>46286</v>
      </c>
      <c r="D163" s="7" t="s">
        <v>50</v>
      </c>
      <c r="E163" s="11">
        <v>8</v>
      </c>
      <c r="F163" s="12">
        <v>74</v>
      </c>
      <c r="G163" s="16">
        <v>592</v>
      </c>
      <c r="H163" s="10" t="str">
        <f t="shared" si="12"/>
        <v>E003|20260921|P103</v>
      </c>
      <c r="I163" s="17">
        <f>SUMIFS(Time_Entries!$J$5:$J$332,Time_Entries!$M$5:$M$332,H163,Time_Entries!$N$5:$N$332,"")</f>
        <v>8</v>
      </c>
      <c r="J163" s="18">
        <f t="shared" si="13"/>
        <v>0</v>
      </c>
      <c r="K163" s="13">
        <f>IFERROR(INDEX(Lists!$L$5:$L$20,MATCH(INDEX(Lists!$C$5:$C$34,MATCH(B163,Lists!$A$5:$A$34,0))&amp;"|"&amp;D163,Lists!$I$5:$I$20,0)),"")</f>
        <v>74</v>
      </c>
      <c r="L163" s="19">
        <f t="shared" si="14"/>
        <v>0</v>
      </c>
      <c r="M163" s="15">
        <f t="shared" si="15"/>
        <v>592</v>
      </c>
      <c r="N163" s="20">
        <f t="shared" si="16"/>
        <v>0</v>
      </c>
      <c r="O163" s="10" t="str">
        <f t="shared" si="17"/>
        <v>OK</v>
      </c>
    </row>
    <row r="164" spans="1:15" x14ac:dyDescent="0.25">
      <c r="A164" s="7" t="s">
        <v>572</v>
      </c>
      <c r="B164" s="7" t="s">
        <v>87</v>
      </c>
      <c r="C164" s="9">
        <v>46286</v>
      </c>
      <c r="D164" s="7" t="s">
        <v>74</v>
      </c>
      <c r="E164" s="11">
        <v>8</v>
      </c>
      <c r="F164" s="12">
        <v>86</v>
      </c>
      <c r="G164" s="16">
        <v>688</v>
      </c>
      <c r="H164" s="10" t="str">
        <f t="shared" si="12"/>
        <v>E004|20260921|P104</v>
      </c>
      <c r="I164" s="17">
        <f>SUMIFS(Time_Entries!$J$5:$J$332,Time_Entries!$M$5:$M$332,H164,Time_Entries!$N$5:$N$332,"")</f>
        <v>8</v>
      </c>
      <c r="J164" s="18">
        <f t="shared" si="13"/>
        <v>0</v>
      </c>
      <c r="K164" s="13">
        <f>IFERROR(INDEX(Lists!$L$5:$L$20,MATCH(INDEX(Lists!$C$5:$C$34,MATCH(B164,Lists!$A$5:$A$34,0))&amp;"|"&amp;D164,Lists!$I$5:$I$20,0)),"")</f>
        <v>86</v>
      </c>
      <c r="L164" s="19">
        <f t="shared" si="14"/>
        <v>0</v>
      </c>
      <c r="M164" s="15">
        <f t="shared" si="15"/>
        <v>688</v>
      </c>
      <c r="N164" s="20">
        <f t="shared" si="16"/>
        <v>0</v>
      </c>
      <c r="O164" s="10" t="str">
        <f t="shared" si="17"/>
        <v>OK</v>
      </c>
    </row>
    <row r="165" spans="1:15" x14ac:dyDescent="0.25">
      <c r="A165" s="7" t="s">
        <v>573</v>
      </c>
      <c r="B165" s="7" t="s">
        <v>99</v>
      </c>
      <c r="C165" s="9">
        <v>46286</v>
      </c>
      <c r="D165" s="7" t="s">
        <v>41</v>
      </c>
      <c r="E165" s="11">
        <v>8</v>
      </c>
      <c r="F165" s="12">
        <v>78</v>
      </c>
      <c r="G165" s="16">
        <v>624</v>
      </c>
      <c r="H165" s="10" t="str">
        <f t="shared" si="12"/>
        <v>E005|20260921|P101</v>
      </c>
      <c r="I165" s="17">
        <f>SUMIFS(Time_Entries!$J$5:$J$332,Time_Entries!$M$5:$M$332,H165,Time_Entries!$N$5:$N$332,"")</f>
        <v>8</v>
      </c>
      <c r="J165" s="18">
        <f t="shared" si="13"/>
        <v>0</v>
      </c>
      <c r="K165" s="13">
        <f>IFERROR(INDEX(Lists!$L$5:$L$20,MATCH(INDEX(Lists!$C$5:$C$34,MATCH(B165,Lists!$A$5:$A$34,0))&amp;"|"&amp;D165,Lists!$I$5:$I$20,0)),"")</f>
        <v>78</v>
      </c>
      <c r="L165" s="19">
        <f t="shared" si="14"/>
        <v>0</v>
      </c>
      <c r="M165" s="15">
        <f t="shared" si="15"/>
        <v>624</v>
      </c>
      <c r="N165" s="20">
        <f t="shared" si="16"/>
        <v>0</v>
      </c>
      <c r="O165" s="10" t="str">
        <f t="shared" si="17"/>
        <v>OK</v>
      </c>
    </row>
    <row r="166" spans="1:15" x14ac:dyDescent="0.25">
      <c r="A166" s="7" t="s">
        <v>574</v>
      </c>
      <c r="B166" s="7" t="s">
        <v>110</v>
      </c>
      <c r="C166" s="9">
        <v>46286</v>
      </c>
      <c r="D166" s="7" t="s">
        <v>41</v>
      </c>
      <c r="E166" s="11">
        <v>4</v>
      </c>
      <c r="F166" s="12">
        <v>78</v>
      </c>
      <c r="G166" s="16">
        <v>312</v>
      </c>
      <c r="H166" s="10" t="str">
        <f t="shared" si="12"/>
        <v>E006|20260921|P101</v>
      </c>
      <c r="I166" s="17">
        <f>SUMIFS(Time_Entries!$J$5:$J$332,Time_Entries!$M$5:$M$332,H166,Time_Entries!$N$5:$N$332,"")</f>
        <v>4</v>
      </c>
      <c r="J166" s="18">
        <f t="shared" si="13"/>
        <v>0</v>
      </c>
      <c r="K166" s="13">
        <f>IFERROR(INDEX(Lists!$L$5:$L$20,MATCH(INDEX(Lists!$C$5:$C$34,MATCH(B166,Lists!$A$5:$A$34,0))&amp;"|"&amp;D166,Lists!$I$5:$I$20,0)),"")</f>
        <v>78</v>
      </c>
      <c r="L166" s="19">
        <f t="shared" si="14"/>
        <v>0</v>
      </c>
      <c r="M166" s="15">
        <f t="shared" si="15"/>
        <v>312</v>
      </c>
      <c r="N166" s="20">
        <f t="shared" si="16"/>
        <v>0</v>
      </c>
      <c r="O166" s="10" t="str">
        <f t="shared" si="17"/>
        <v>OK</v>
      </c>
    </row>
    <row r="167" spans="1:15" x14ac:dyDescent="0.25">
      <c r="A167" s="7" t="s">
        <v>575</v>
      </c>
      <c r="B167" s="7" t="s">
        <v>110</v>
      </c>
      <c r="C167" s="9">
        <v>46286</v>
      </c>
      <c r="D167" s="7" t="s">
        <v>46</v>
      </c>
      <c r="E167" s="11">
        <v>4</v>
      </c>
      <c r="F167" s="12">
        <v>82</v>
      </c>
      <c r="G167" s="16">
        <v>328</v>
      </c>
      <c r="H167" s="10" t="str">
        <f t="shared" si="12"/>
        <v>E006|20260921|P102</v>
      </c>
      <c r="I167" s="17">
        <f>SUMIFS(Time_Entries!$J$5:$J$332,Time_Entries!$M$5:$M$332,H167,Time_Entries!$N$5:$N$332,"")</f>
        <v>4</v>
      </c>
      <c r="J167" s="18">
        <f t="shared" si="13"/>
        <v>0</v>
      </c>
      <c r="K167" s="13">
        <f>IFERROR(INDEX(Lists!$L$5:$L$20,MATCH(INDEX(Lists!$C$5:$C$34,MATCH(B167,Lists!$A$5:$A$34,0))&amp;"|"&amp;D167,Lists!$I$5:$I$20,0)),"")</f>
        <v>82</v>
      </c>
      <c r="L167" s="19">
        <f t="shared" si="14"/>
        <v>0</v>
      </c>
      <c r="M167" s="15">
        <f t="shared" si="15"/>
        <v>328</v>
      </c>
      <c r="N167" s="20">
        <f t="shared" si="16"/>
        <v>0</v>
      </c>
      <c r="O167" s="10" t="str">
        <f t="shared" si="17"/>
        <v>OK</v>
      </c>
    </row>
    <row r="168" spans="1:15" x14ac:dyDescent="0.25">
      <c r="A168" s="7" t="s">
        <v>576</v>
      </c>
      <c r="B168" s="7" t="s">
        <v>136</v>
      </c>
      <c r="C168" s="9">
        <v>46286</v>
      </c>
      <c r="D168" s="7" t="s">
        <v>74</v>
      </c>
      <c r="E168" s="11">
        <v>8</v>
      </c>
      <c r="F168" s="12">
        <v>86</v>
      </c>
      <c r="G168" s="16">
        <v>688</v>
      </c>
      <c r="H168" s="10" t="str">
        <f t="shared" si="12"/>
        <v>E008|20260921|P104</v>
      </c>
      <c r="I168" s="17">
        <f>SUMIFS(Time_Entries!$J$5:$J$332,Time_Entries!$M$5:$M$332,H168,Time_Entries!$N$5:$N$332,"")</f>
        <v>8</v>
      </c>
      <c r="J168" s="18">
        <f t="shared" si="13"/>
        <v>0</v>
      </c>
      <c r="K168" s="13">
        <f>IFERROR(INDEX(Lists!$L$5:$L$20,MATCH(INDEX(Lists!$C$5:$C$34,MATCH(B168,Lists!$A$5:$A$34,0))&amp;"|"&amp;D168,Lists!$I$5:$I$20,0)),"")</f>
        <v>86</v>
      </c>
      <c r="L168" s="19">
        <f t="shared" si="14"/>
        <v>0</v>
      </c>
      <c r="M168" s="15">
        <f t="shared" si="15"/>
        <v>688</v>
      </c>
      <c r="N168" s="20">
        <f t="shared" si="16"/>
        <v>0</v>
      </c>
      <c r="O168" s="10" t="str">
        <f t="shared" si="17"/>
        <v>OK</v>
      </c>
    </row>
    <row r="169" spans="1:15" x14ac:dyDescent="0.25">
      <c r="A169" s="7" t="s">
        <v>577</v>
      </c>
      <c r="B169" s="7" t="s">
        <v>147</v>
      </c>
      <c r="C169" s="9">
        <v>46286</v>
      </c>
      <c r="D169" s="7" t="s">
        <v>41</v>
      </c>
      <c r="E169" s="11">
        <v>8</v>
      </c>
      <c r="F169" s="12">
        <v>78</v>
      </c>
      <c r="G169" s="16">
        <v>624</v>
      </c>
      <c r="H169" s="10" t="str">
        <f t="shared" si="12"/>
        <v>E009|20260921|P101</v>
      </c>
      <c r="I169" s="17">
        <f>SUMIFS(Time_Entries!$J$5:$J$332,Time_Entries!$M$5:$M$332,H169,Time_Entries!$N$5:$N$332,"")</f>
        <v>8</v>
      </c>
      <c r="J169" s="18">
        <f t="shared" si="13"/>
        <v>0</v>
      </c>
      <c r="K169" s="13">
        <f>IFERROR(INDEX(Lists!$L$5:$L$20,MATCH(INDEX(Lists!$C$5:$C$34,MATCH(B169,Lists!$A$5:$A$34,0))&amp;"|"&amp;D169,Lists!$I$5:$I$20,0)),"")</f>
        <v>78</v>
      </c>
      <c r="L169" s="19">
        <f t="shared" si="14"/>
        <v>0</v>
      </c>
      <c r="M169" s="15">
        <f t="shared" si="15"/>
        <v>624</v>
      </c>
      <c r="N169" s="20">
        <f t="shared" si="16"/>
        <v>0</v>
      </c>
      <c r="O169" s="10" t="str">
        <f t="shared" si="17"/>
        <v>OK</v>
      </c>
    </row>
    <row r="170" spans="1:15" x14ac:dyDescent="0.25">
      <c r="A170" s="7" t="s">
        <v>578</v>
      </c>
      <c r="B170" s="7" t="s">
        <v>158</v>
      </c>
      <c r="C170" s="9">
        <v>46286</v>
      </c>
      <c r="D170" s="7" t="s">
        <v>46</v>
      </c>
      <c r="E170" s="11">
        <v>8</v>
      </c>
      <c r="F170" s="12">
        <v>110</v>
      </c>
      <c r="G170" s="16">
        <v>880</v>
      </c>
      <c r="H170" s="10" t="str">
        <f t="shared" si="12"/>
        <v>E010|20260921|P102</v>
      </c>
      <c r="I170" s="17">
        <f>SUMIFS(Time_Entries!$J$5:$J$332,Time_Entries!$M$5:$M$332,H170,Time_Entries!$N$5:$N$332,"")</f>
        <v>8</v>
      </c>
      <c r="J170" s="18">
        <f t="shared" si="13"/>
        <v>0</v>
      </c>
      <c r="K170" s="13">
        <f>IFERROR(INDEX(Lists!$L$5:$L$20,MATCH(INDEX(Lists!$C$5:$C$34,MATCH(B170,Lists!$A$5:$A$34,0))&amp;"|"&amp;D170,Lists!$I$5:$I$20,0)),"")</f>
        <v>110</v>
      </c>
      <c r="L170" s="19">
        <f t="shared" si="14"/>
        <v>0</v>
      </c>
      <c r="M170" s="15">
        <f t="shared" si="15"/>
        <v>880</v>
      </c>
      <c r="N170" s="20">
        <f t="shared" si="16"/>
        <v>0</v>
      </c>
      <c r="O170" s="10" t="str">
        <f t="shared" si="17"/>
        <v>OK</v>
      </c>
    </row>
    <row r="171" spans="1:15" x14ac:dyDescent="0.25">
      <c r="A171" s="7" t="s">
        <v>579</v>
      </c>
      <c r="B171" s="7" t="s">
        <v>170</v>
      </c>
      <c r="C171" s="9">
        <v>46286</v>
      </c>
      <c r="D171" s="7" t="s">
        <v>50</v>
      </c>
      <c r="E171" s="11">
        <v>8</v>
      </c>
      <c r="F171" s="12">
        <v>100</v>
      </c>
      <c r="G171" s="16">
        <v>800</v>
      </c>
      <c r="H171" s="10" t="str">
        <f t="shared" si="12"/>
        <v>E011|20260921|P103</v>
      </c>
      <c r="I171" s="17">
        <f>SUMIFS(Time_Entries!$J$5:$J$332,Time_Entries!$M$5:$M$332,H171,Time_Entries!$N$5:$N$332,"")</f>
        <v>8</v>
      </c>
      <c r="J171" s="18">
        <f t="shared" si="13"/>
        <v>0</v>
      </c>
      <c r="K171" s="13">
        <f>IFERROR(INDEX(Lists!$L$5:$L$20,MATCH(INDEX(Lists!$C$5:$C$34,MATCH(B171,Lists!$A$5:$A$34,0))&amp;"|"&amp;D171,Lists!$I$5:$I$20,0)),"")</f>
        <v>100</v>
      </c>
      <c r="L171" s="19">
        <f t="shared" si="14"/>
        <v>0</v>
      </c>
      <c r="M171" s="15">
        <f t="shared" si="15"/>
        <v>800</v>
      </c>
      <c r="N171" s="20">
        <f t="shared" si="16"/>
        <v>0</v>
      </c>
      <c r="O171" s="10" t="str">
        <f t="shared" si="17"/>
        <v>OK</v>
      </c>
    </row>
    <row r="172" spans="1:15" x14ac:dyDescent="0.25">
      <c r="A172" s="7" t="s">
        <v>580</v>
      </c>
      <c r="B172" s="7" t="s">
        <v>180</v>
      </c>
      <c r="C172" s="9">
        <v>46286</v>
      </c>
      <c r="D172" s="7" t="s">
        <v>74</v>
      </c>
      <c r="E172" s="11">
        <v>8</v>
      </c>
      <c r="F172" s="12">
        <v>116</v>
      </c>
      <c r="G172" s="16">
        <v>928</v>
      </c>
      <c r="H172" s="10" t="str">
        <f t="shared" si="12"/>
        <v>E012|20260921|P104</v>
      </c>
      <c r="I172" s="17">
        <f>SUMIFS(Time_Entries!$J$5:$J$332,Time_Entries!$M$5:$M$332,H172,Time_Entries!$N$5:$N$332,"")</f>
        <v>8</v>
      </c>
      <c r="J172" s="18">
        <f t="shared" si="13"/>
        <v>0</v>
      </c>
      <c r="K172" s="13">
        <f>IFERROR(INDEX(Lists!$L$5:$L$20,MATCH(INDEX(Lists!$C$5:$C$34,MATCH(B172,Lists!$A$5:$A$34,0))&amp;"|"&amp;D172,Lists!$I$5:$I$20,0)),"")</f>
        <v>116</v>
      </c>
      <c r="L172" s="19">
        <f t="shared" si="14"/>
        <v>0</v>
      </c>
      <c r="M172" s="15">
        <f t="shared" si="15"/>
        <v>928</v>
      </c>
      <c r="N172" s="20">
        <f t="shared" si="16"/>
        <v>0</v>
      </c>
      <c r="O172" s="10" t="str">
        <f t="shared" si="17"/>
        <v>OK</v>
      </c>
    </row>
    <row r="173" spans="1:15" x14ac:dyDescent="0.25">
      <c r="A173" s="7" t="s">
        <v>581</v>
      </c>
      <c r="B173" s="7" t="s">
        <v>194</v>
      </c>
      <c r="C173" s="9">
        <v>46286</v>
      </c>
      <c r="D173" s="7" t="s">
        <v>41</v>
      </c>
      <c r="E173" s="11">
        <v>8</v>
      </c>
      <c r="F173" s="12">
        <v>105</v>
      </c>
      <c r="G173" s="16">
        <v>840</v>
      </c>
      <c r="H173" s="10" t="str">
        <f t="shared" si="12"/>
        <v>E013|20260921|P101</v>
      </c>
      <c r="I173" s="17">
        <f>SUMIFS(Time_Entries!$J$5:$J$332,Time_Entries!$M$5:$M$332,H173,Time_Entries!$N$5:$N$332,"")</f>
        <v>8</v>
      </c>
      <c r="J173" s="18">
        <f t="shared" si="13"/>
        <v>0</v>
      </c>
      <c r="K173" s="13">
        <f>IFERROR(INDEX(Lists!$L$5:$L$20,MATCH(INDEX(Lists!$C$5:$C$34,MATCH(B173,Lists!$A$5:$A$34,0))&amp;"|"&amp;D173,Lists!$I$5:$I$20,0)),"")</f>
        <v>105</v>
      </c>
      <c r="L173" s="19">
        <f t="shared" si="14"/>
        <v>0</v>
      </c>
      <c r="M173" s="15">
        <f t="shared" si="15"/>
        <v>840</v>
      </c>
      <c r="N173" s="20">
        <f t="shared" si="16"/>
        <v>0</v>
      </c>
      <c r="O173" s="10" t="str">
        <f t="shared" si="17"/>
        <v>OK</v>
      </c>
    </row>
    <row r="174" spans="1:15" x14ac:dyDescent="0.25">
      <c r="A174" s="7" t="s">
        <v>582</v>
      </c>
      <c r="B174" s="7" t="s">
        <v>206</v>
      </c>
      <c r="C174" s="9">
        <v>46286</v>
      </c>
      <c r="D174" s="7" t="s">
        <v>46</v>
      </c>
      <c r="E174" s="11">
        <v>8</v>
      </c>
      <c r="F174" s="12">
        <v>110</v>
      </c>
      <c r="G174" s="16">
        <v>880</v>
      </c>
      <c r="H174" s="10" t="str">
        <f t="shared" si="12"/>
        <v>E014|20260921|P102</v>
      </c>
      <c r="I174" s="17">
        <f>SUMIFS(Time_Entries!$J$5:$J$332,Time_Entries!$M$5:$M$332,H174,Time_Entries!$N$5:$N$332,"")</f>
        <v>0</v>
      </c>
      <c r="J174" s="18">
        <f t="shared" si="13"/>
        <v>8</v>
      </c>
      <c r="K174" s="13">
        <f>IFERROR(INDEX(Lists!$L$5:$L$20,MATCH(INDEX(Lists!$C$5:$C$34,MATCH(B174,Lists!$A$5:$A$34,0))&amp;"|"&amp;D174,Lists!$I$5:$I$20,0)),"")</f>
        <v>110</v>
      </c>
      <c r="L174" s="19">
        <f t="shared" si="14"/>
        <v>0</v>
      </c>
      <c r="M174" s="15">
        <f t="shared" si="15"/>
        <v>0</v>
      </c>
      <c r="N174" s="20">
        <f t="shared" si="16"/>
        <v>880</v>
      </c>
      <c r="O174" s="10" t="str">
        <f t="shared" si="17"/>
        <v>NO TIME ENTRY</v>
      </c>
    </row>
    <row r="175" spans="1:15" x14ac:dyDescent="0.25">
      <c r="A175" s="7" t="s">
        <v>583</v>
      </c>
      <c r="B175" s="7" t="s">
        <v>217</v>
      </c>
      <c r="C175" s="9">
        <v>46286</v>
      </c>
      <c r="D175" s="7" t="s">
        <v>50</v>
      </c>
      <c r="E175" s="11">
        <v>8</v>
      </c>
      <c r="F175" s="12">
        <v>100</v>
      </c>
      <c r="G175" s="16">
        <v>800</v>
      </c>
      <c r="H175" s="10" t="str">
        <f t="shared" si="12"/>
        <v>E015|20260921|P103</v>
      </c>
      <c r="I175" s="17">
        <f>SUMIFS(Time_Entries!$J$5:$J$332,Time_Entries!$M$5:$M$332,H175,Time_Entries!$N$5:$N$332,"")</f>
        <v>8</v>
      </c>
      <c r="J175" s="18">
        <f t="shared" si="13"/>
        <v>0</v>
      </c>
      <c r="K175" s="13">
        <f>IFERROR(INDEX(Lists!$L$5:$L$20,MATCH(INDEX(Lists!$C$5:$C$34,MATCH(B175,Lists!$A$5:$A$34,0))&amp;"|"&amp;D175,Lists!$I$5:$I$20,0)),"")</f>
        <v>100</v>
      </c>
      <c r="L175" s="19">
        <f t="shared" si="14"/>
        <v>0</v>
      </c>
      <c r="M175" s="15">
        <f t="shared" si="15"/>
        <v>800</v>
      </c>
      <c r="N175" s="20">
        <f t="shared" si="16"/>
        <v>0</v>
      </c>
      <c r="O175" s="10" t="str">
        <f t="shared" si="17"/>
        <v>OK</v>
      </c>
    </row>
    <row r="176" spans="1:15" x14ac:dyDescent="0.25">
      <c r="A176" s="7" t="s">
        <v>584</v>
      </c>
      <c r="B176" s="7" t="s">
        <v>229</v>
      </c>
      <c r="C176" s="9">
        <v>46286</v>
      </c>
      <c r="D176" s="7" t="s">
        <v>74</v>
      </c>
      <c r="E176" s="11">
        <v>8</v>
      </c>
      <c r="F176" s="12">
        <v>130</v>
      </c>
      <c r="G176" s="16">
        <v>1040</v>
      </c>
      <c r="H176" s="10" t="str">
        <f t="shared" si="12"/>
        <v>E016|20260921|P104</v>
      </c>
      <c r="I176" s="17">
        <f>SUMIFS(Time_Entries!$J$5:$J$332,Time_Entries!$M$5:$M$332,H176,Time_Entries!$N$5:$N$332,"")</f>
        <v>8</v>
      </c>
      <c r="J176" s="18">
        <f t="shared" si="13"/>
        <v>0</v>
      </c>
      <c r="K176" s="13">
        <f>IFERROR(INDEX(Lists!$L$5:$L$20,MATCH(INDEX(Lists!$C$5:$C$34,MATCH(B176,Lists!$A$5:$A$34,0))&amp;"|"&amp;D176,Lists!$I$5:$I$20,0)),"")</f>
        <v>130</v>
      </c>
      <c r="L176" s="19">
        <f t="shared" si="14"/>
        <v>0</v>
      </c>
      <c r="M176" s="15">
        <f t="shared" si="15"/>
        <v>1040</v>
      </c>
      <c r="N176" s="20">
        <f t="shared" si="16"/>
        <v>0</v>
      </c>
      <c r="O176" s="10" t="str">
        <f t="shared" si="17"/>
        <v>OK</v>
      </c>
    </row>
    <row r="177" spans="1:15" x14ac:dyDescent="0.25">
      <c r="A177" s="7" t="s">
        <v>585</v>
      </c>
      <c r="B177" s="7" t="s">
        <v>240</v>
      </c>
      <c r="C177" s="9">
        <v>46286</v>
      </c>
      <c r="D177" s="7" t="s">
        <v>41</v>
      </c>
      <c r="E177" s="11">
        <v>8</v>
      </c>
      <c r="F177" s="12">
        <v>118</v>
      </c>
      <c r="G177" s="16">
        <v>944</v>
      </c>
      <c r="H177" s="10" t="str">
        <f t="shared" si="12"/>
        <v>E017|20260921|P101</v>
      </c>
      <c r="I177" s="17">
        <f>SUMIFS(Time_Entries!$J$5:$J$332,Time_Entries!$M$5:$M$332,H177,Time_Entries!$N$5:$N$332,"")</f>
        <v>8</v>
      </c>
      <c r="J177" s="18">
        <f t="shared" si="13"/>
        <v>0</v>
      </c>
      <c r="K177" s="13">
        <f>IFERROR(INDEX(Lists!$L$5:$L$20,MATCH(INDEX(Lists!$C$5:$C$34,MATCH(B177,Lists!$A$5:$A$34,0))&amp;"|"&amp;D177,Lists!$I$5:$I$20,0)),"")</f>
        <v>118</v>
      </c>
      <c r="L177" s="19">
        <f t="shared" si="14"/>
        <v>0</v>
      </c>
      <c r="M177" s="15">
        <f t="shared" si="15"/>
        <v>944</v>
      </c>
      <c r="N177" s="20">
        <f t="shared" si="16"/>
        <v>0</v>
      </c>
      <c r="O177" s="10" t="str">
        <f t="shared" si="17"/>
        <v>OK</v>
      </c>
    </row>
    <row r="178" spans="1:15" x14ac:dyDescent="0.25">
      <c r="A178" s="7" t="s">
        <v>586</v>
      </c>
      <c r="B178" s="7" t="s">
        <v>250</v>
      </c>
      <c r="C178" s="9">
        <v>46286</v>
      </c>
      <c r="D178" s="7" t="s">
        <v>46</v>
      </c>
      <c r="E178" s="11">
        <v>8</v>
      </c>
      <c r="F178" s="12">
        <v>124</v>
      </c>
      <c r="G178" s="16">
        <v>992</v>
      </c>
      <c r="H178" s="10" t="str">
        <f t="shared" si="12"/>
        <v>E018|20260921|P102</v>
      </c>
      <c r="I178" s="17">
        <f>SUMIFS(Time_Entries!$J$5:$J$332,Time_Entries!$M$5:$M$332,H178,Time_Entries!$N$5:$N$332,"")</f>
        <v>8</v>
      </c>
      <c r="J178" s="18">
        <f t="shared" si="13"/>
        <v>0</v>
      </c>
      <c r="K178" s="13">
        <f>IFERROR(INDEX(Lists!$L$5:$L$20,MATCH(INDEX(Lists!$C$5:$C$34,MATCH(B178,Lists!$A$5:$A$34,0))&amp;"|"&amp;D178,Lists!$I$5:$I$20,0)),"")</f>
        <v>124</v>
      </c>
      <c r="L178" s="19">
        <f t="shared" si="14"/>
        <v>0</v>
      </c>
      <c r="M178" s="15">
        <f t="shared" si="15"/>
        <v>992</v>
      </c>
      <c r="N178" s="20">
        <f t="shared" si="16"/>
        <v>0</v>
      </c>
      <c r="O178" s="10" t="str">
        <f t="shared" si="17"/>
        <v>OK</v>
      </c>
    </row>
    <row r="179" spans="1:15" x14ac:dyDescent="0.25">
      <c r="A179" s="7" t="s">
        <v>587</v>
      </c>
      <c r="B179" s="7" t="s">
        <v>262</v>
      </c>
      <c r="C179" s="9">
        <v>46286</v>
      </c>
      <c r="D179" s="7" t="s">
        <v>50</v>
      </c>
      <c r="E179" s="11">
        <v>8</v>
      </c>
      <c r="F179" s="12">
        <v>112</v>
      </c>
      <c r="G179" s="16">
        <v>896</v>
      </c>
      <c r="H179" s="10" t="str">
        <f t="shared" si="12"/>
        <v>E019|20260921|P103</v>
      </c>
      <c r="I179" s="17">
        <f>SUMIFS(Time_Entries!$J$5:$J$332,Time_Entries!$M$5:$M$332,H179,Time_Entries!$N$5:$N$332,"")</f>
        <v>8</v>
      </c>
      <c r="J179" s="18">
        <f t="shared" si="13"/>
        <v>0</v>
      </c>
      <c r="K179" s="13">
        <f>IFERROR(INDEX(Lists!$L$5:$L$20,MATCH(INDEX(Lists!$C$5:$C$34,MATCH(B179,Lists!$A$5:$A$34,0))&amp;"|"&amp;D179,Lists!$I$5:$I$20,0)),"")</f>
        <v>112</v>
      </c>
      <c r="L179" s="19">
        <f t="shared" si="14"/>
        <v>0</v>
      </c>
      <c r="M179" s="15">
        <f t="shared" si="15"/>
        <v>896</v>
      </c>
      <c r="N179" s="20">
        <f t="shared" si="16"/>
        <v>0</v>
      </c>
      <c r="O179" s="10" t="str">
        <f t="shared" si="17"/>
        <v>OK</v>
      </c>
    </row>
    <row r="180" spans="1:15" x14ac:dyDescent="0.25">
      <c r="A180" s="7" t="s">
        <v>588</v>
      </c>
      <c r="B180" s="7" t="s">
        <v>273</v>
      </c>
      <c r="C180" s="9">
        <v>46286</v>
      </c>
      <c r="D180" s="7" t="s">
        <v>74</v>
      </c>
      <c r="E180" s="11">
        <v>8</v>
      </c>
      <c r="F180" s="12">
        <v>130</v>
      </c>
      <c r="G180" s="16">
        <v>1040</v>
      </c>
      <c r="H180" s="10" t="str">
        <f t="shared" si="12"/>
        <v>E020|20260921|P104</v>
      </c>
      <c r="I180" s="17">
        <f>SUMIFS(Time_Entries!$J$5:$J$332,Time_Entries!$M$5:$M$332,H180,Time_Entries!$N$5:$N$332,"")</f>
        <v>8</v>
      </c>
      <c r="J180" s="18">
        <f t="shared" si="13"/>
        <v>0</v>
      </c>
      <c r="K180" s="13">
        <f>IFERROR(INDEX(Lists!$L$5:$L$20,MATCH(INDEX(Lists!$C$5:$C$34,MATCH(B180,Lists!$A$5:$A$34,0))&amp;"|"&amp;D180,Lists!$I$5:$I$20,0)),"")</f>
        <v>130</v>
      </c>
      <c r="L180" s="19">
        <f t="shared" si="14"/>
        <v>0</v>
      </c>
      <c r="M180" s="15">
        <f t="shared" si="15"/>
        <v>1040</v>
      </c>
      <c r="N180" s="20">
        <f t="shared" si="16"/>
        <v>0</v>
      </c>
      <c r="O180" s="10" t="str">
        <f t="shared" si="17"/>
        <v>OK</v>
      </c>
    </row>
    <row r="181" spans="1:15" x14ac:dyDescent="0.25">
      <c r="A181" s="7" t="s">
        <v>589</v>
      </c>
      <c r="B181" s="7" t="s">
        <v>284</v>
      </c>
      <c r="C181" s="9">
        <v>46286</v>
      </c>
      <c r="D181" s="7" t="s">
        <v>41</v>
      </c>
      <c r="E181" s="11">
        <v>8</v>
      </c>
      <c r="F181" s="12">
        <v>118</v>
      </c>
      <c r="G181" s="16">
        <v>944</v>
      </c>
      <c r="H181" s="10" t="str">
        <f t="shared" si="12"/>
        <v>E021|20260921|P101</v>
      </c>
      <c r="I181" s="17">
        <f>SUMIFS(Time_Entries!$J$5:$J$332,Time_Entries!$M$5:$M$332,H181,Time_Entries!$N$5:$N$332,"")</f>
        <v>8</v>
      </c>
      <c r="J181" s="18">
        <f t="shared" si="13"/>
        <v>0</v>
      </c>
      <c r="K181" s="13">
        <f>IFERROR(INDEX(Lists!$L$5:$L$20,MATCH(INDEX(Lists!$C$5:$C$34,MATCH(B181,Lists!$A$5:$A$34,0))&amp;"|"&amp;D181,Lists!$I$5:$I$20,0)),"")</f>
        <v>118</v>
      </c>
      <c r="L181" s="19">
        <f t="shared" si="14"/>
        <v>0</v>
      </c>
      <c r="M181" s="15">
        <f t="shared" si="15"/>
        <v>944</v>
      </c>
      <c r="N181" s="20">
        <f t="shared" si="16"/>
        <v>0</v>
      </c>
      <c r="O181" s="10" t="str">
        <f t="shared" si="17"/>
        <v>OK</v>
      </c>
    </row>
    <row r="182" spans="1:15" x14ac:dyDescent="0.25">
      <c r="A182" s="7" t="s">
        <v>590</v>
      </c>
      <c r="B182" s="7" t="s">
        <v>295</v>
      </c>
      <c r="C182" s="9">
        <v>46286</v>
      </c>
      <c r="D182" s="7" t="s">
        <v>46</v>
      </c>
      <c r="E182" s="11">
        <v>8</v>
      </c>
      <c r="F182" s="12">
        <v>124</v>
      </c>
      <c r="G182" s="16">
        <v>992</v>
      </c>
      <c r="H182" s="10" t="str">
        <f t="shared" si="12"/>
        <v>E022|20260921|P102</v>
      </c>
      <c r="I182" s="17">
        <f>SUMIFS(Time_Entries!$J$5:$J$332,Time_Entries!$M$5:$M$332,H182,Time_Entries!$N$5:$N$332,"")</f>
        <v>8</v>
      </c>
      <c r="J182" s="18">
        <f t="shared" si="13"/>
        <v>0</v>
      </c>
      <c r="K182" s="13">
        <f>IFERROR(INDEX(Lists!$L$5:$L$20,MATCH(INDEX(Lists!$C$5:$C$34,MATCH(B182,Lists!$A$5:$A$34,0))&amp;"|"&amp;D182,Lists!$I$5:$I$20,0)),"")</f>
        <v>124</v>
      </c>
      <c r="L182" s="19">
        <f t="shared" si="14"/>
        <v>0</v>
      </c>
      <c r="M182" s="15">
        <f t="shared" si="15"/>
        <v>992</v>
      </c>
      <c r="N182" s="20">
        <f t="shared" si="16"/>
        <v>0</v>
      </c>
      <c r="O182" s="10" t="str">
        <f t="shared" si="17"/>
        <v>OK</v>
      </c>
    </row>
    <row r="183" spans="1:15" x14ac:dyDescent="0.25">
      <c r="A183" s="7" t="s">
        <v>591</v>
      </c>
      <c r="B183" s="7" t="s">
        <v>307</v>
      </c>
      <c r="C183" s="9">
        <v>46286</v>
      </c>
      <c r="D183" s="7" t="s">
        <v>50</v>
      </c>
      <c r="E183" s="11">
        <v>8</v>
      </c>
      <c r="F183" s="12">
        <v>112</v>
      </c>
      <c r="G183" s="16">
        <v>896</v>
      </c>
      <c r="H183" s="10" t="str">
        <f t="shared" si="12"/>
        <v>E023|20260921|P103</v>
      </c>
      <c r="I183" s="17">
        <f>SUMIFS(Time_Entries!$J$5:$J$332,Time_Entries!$M$5:$M$332,H183,Time_Entries!$N$5:$N$332,"")</f>
        <v>8</v>
      </c>
      <c r="J183" s="18">
        <f t="shared" si="13"/>
        <v>0</v>
      </c>
      <c r="K183" s="13">
        <f>IFERROR(INDEX(Lists!$L$5:$L$20,MATCH(INDEX(Lists!$C$5:$C$34,MATCH(B183,Lists!$A$5:$A$34,0))&amp;"|"&amp;D183,Lists!$I$5:$I$20,0)),"")</f>
        <v>112</v>
      </c>
      <c r="L183" s="19">
        <f t="shared" si="14"/>
        <v>0</v>
      </c>
      <c r="M183" s="15">
        <f t="shared" si="15"/>
        <v>896</v>
      </c>
      <c r="N183" s="20">
        <f t="shared" si="16"/>
        <v>0</v>
      </c>
      <c r="O183" s="10" t="str">
        <f t="shared" si="17"/>
        <v>OK</v>
      </c>
    </row>
    <row r="184" spans="1:15" x14ac:dyDescent="0.25">
      <c r="A184" s="7" t="s">
        <v>592</v>
      </c>
      <c r="B184" s="7" t="s">
        <v>317</v>
      </c>
      <c r="C184" s="9">
        <v>46286</v>
      </c>
      <c r="D184" s="7" t="s">
        <v>74</v>
      </c>
      <c r="E184" s="11">
        <v>8</v>
      </c>
      <c r="F184" s="12">
        <v>130</v>
      </c>
      <c r="G184" s="16">
        <v>1040</v>
      </c>
      <c r="H184" s="10" t="str">
        <f t="shared" si="12"/>
        <v>E024|20260921|P104</v>
      </c>
      <c r="I184" s="17">
        <f>SUMIFS(Time_Entries!$J$5:$J$332,Time_Entries!$M$5:$M$332,H184,Time_Entries!$N$5:$N$332,"")</f>
        <v>8</v>
      </c>
      <c r="J184" s="18">
        <f t="shared" si="13"/>
        <v>0</v>
      </c>
      <c r="K184" s="13">
        <f>IFERROR(INDEX(Lists!$L$5:$L$20,MATCH(INDEX(Lists!$C$5:$C$34,MATCH(B184,Lists!$A$5:$A$34,0))&amp;"|"&amp;D184,Lists!$I$5:$I$20,0)),"")</f>
        <v>130</v>
      </c>
      <c r="L184" s="19">
        <f t="shared" si="14"/>
        <v>0</v>
      </c>
      <c r="M184" s="15">
        <f t="shared" si="15"/>
        <v>1040</v>
      </c>
      <c r="N184" s="20">
        <f t="shared" si="16"/>
        <v>0</v>
      </c>
      <c r="O184" s="10" t="str">
        <f t="shared" si="17"/>
        <v>OK</v>
      </c>
    </row>
    <row r="185" spans="1:15" x14ac:dyDescent="0.25">
      <c r="A185" s="7" t="s">
        <v>593</v>
      </c>
      <c r="B185" s="7" t="s">
        <v>342</v>
      </c>
      <c r="C185" s="9">
        <v>46286</v>
      </c>
      <c r="D185" s="7" t="s">
        <v>46</v>
      </c>
      <c r="E185" s="11">
        <v>8</v>
      </c>
      <c r="F185" s="12">
        <v>103</v>
      </c>
      <c r="G185" s="16">
        <v>824</v>
      </c>
      <c r="H185" s="10" t="str">
        <f t="shared" si="12"/>
        <v>E026|20260921|P102</v>
      </c>
      <c r="I185" s="17">
        <f>SUMIFS(Time_Entries!$J$5:$J$332,Time_Entries!$M$5:$M$332,H185,Time_Entries!$N$5:$N$332,"")</f>
        <v>8</v>
      </c>
      <c r="J185" s="18">
        <f t="shared" si="13"/>
        <v>0</v>
      </c>
      <c r="K185" s="13">
        <f>IFERROR(INDEX(Lists!$L$5:$L$20,MATCH(INDEX(Lists!$C$5:$C$34,MATCH(B185,Lists!$A$5:$A$34,0))&amp;"|"&amp;D185,Lists!$I$5:$I$20,0)),"")</f>
        <v>103</v>
      </c>
      <c r="L185" s="19">
        <f t="shared" si="14"/>
        <v>0</v>
      </c>
      <c r="M185" s="15">
        <f t="shared" si="15"/>
        <v>824</v>
      </c>
      <c r="N185" s="20">
        <f t="shared" si="16"/>
        <v>0</v>
      </c>
      <c r="O185" s="10" t="str">
        <f t="shared" si="17"/>
        <v>OK</v>
      </c>
    </row>
    <row r="186" spans="1:15" x14ac:dyDescent="0.25">
      <c r="A186" s="7" t="s">
        <v>594</v>
      </c>
      <c r="B186" s="7" t="s">
        <v>352</v>
      </c>
      <c r="C186" s="9">
        <v>46286</v>
      </c>
      <c r="D186" s="7" t="s">
        <v>50</v>
      </c>
      <c r="E186" s="11">
        <v>8</v>
      </c>
      <c r="F186" s="12">
        <v>93</v>
      </c>
      <c r="G186" s="16">
        <v>744</v>
      </c>
      <c r="H186" s="10" t="str">
        <f t="shared" si="12"/>
        <v>E027|20260921|P103</v>
      </c>
      <c r="I186" s="17">
        <f>SUMIFS(Time_Entries!$J$5:$J$332,Time_Entries!$M$5:$M$332,H186,Time_Entries!$N$5:$N$332,"")</f>
        <v>8</v>
      </c>
      <c r="J186" s="18">
        <f t="shared" si="13"/>
        <v>0</v>
      </c>
      <c r="K186" s="13">
        <f>IFERROR(INDEX(Lists!$L$5:$L$20,MATCH(INDEX(Lists!$C$5:$C$34,MATCH(B186,Lists!$A$5:$A$34,0))&amp;"|"&amp;D186,Lists!$I$5:$I$20,0)),"")</f>
        <v>93</v>
      </c>
      <c r="L186" s="19">
        <f t="shared" si="14"/>
        <v>0</v>
      </c>
      <c r="M186" s="15">
        <f t="shared" si="15"/>
        <v>744</v>
      </c>
      <c r="N186" s="20">
        <f t="shared" si="16"/>
        <v>0</v>
      </c>
      <c r="O186" s="10" t="str">
        <f t="shared" si="17"/>
        <v>OK</v>
      </c>
    </row>
    <row r="187" spans="1:15" x14ac:dyDescent="0.25">
      <c r="A187" s="7" t="s">
        <v>595</v>
      </c>
      <c r="B187" s="7" t="s">
        <v>363</v>
      </c>
      <c r="C187" s="9">
        <v>46286</v>
      </c>
      <c r="D187" s="7" t="s">
        <v>74</v>
      </c>
      <c r="E187" s="11">
        <v>8</v>
      </c>
      <c r="F187" s="12">
        <v>108</v>
      </c>
      <c r="G187" s="16">
        <v>864</v>
      </c>
      <c r="H187" s="10" t="str">
        <f t="shared" si="12"/>
        <v>E028|20260921|P104</v>
      </c>
      <c r="I187" s="17">
        <f>SUMIFS(Time_Entries!$J$5:$J$332,Time_Entries!$M$5:$M$332,H187,Time_Entries!$N$5:$N$332,"")</f>
        <v>8</v>
      </c>
      <c r="J187" s="18">
        <f t="shared" si="13"/>
        <v>0</v>
      </c>
      <c r="K187" s="13">
        <f>IFERROR(INDEX(Lists!$L$5:$L$20,MATCH(INDEX(Lists!$C$5:$C$34,MATCH(B187,Lists!$A$5:$A$34,0))&amp;"|"&amp;D187,Lists!$I$5:$I$20,0)),"")</f>
        <v>108</v>
      </c>
      <c r="L187" s="19">
        <f t="shared" si="14"/>
        <v>0</v>
      </c>
      <c r="M187" s="15">
        <f t="shared" si="15"/>
        <v>864</v>
      </c>
      <c r="N187" s="20">
        <f t="shared" si="16"/>
        <v>0</v>
      </c>
      <c r="O187" s="10" t="str">
        <f t="shared" si="17"/>
        <v>OK</v>
      </c>
    </row>
    <row r="188" spans="1:15" x14ac:dyDescent="0.25">
      <c r="A188" s="7" t="s">
        <v>596</v>
      </c>
      <c r="B188" s="7" t="s">
        <v>375</v>
      </c>
      <c r="C188" s="9">
        <v>46286</v>
      </c>
      <c r="D188" s="7" t="s">
        <v>41</v>
      </c>
      <c r="E188" s="11">
        <v>8</v>
      </c>
      <c r="F188" s="12">
        <v>98</v>
      </c>
      <c r="G188" s="16">
        <v>784</v>
      </c>
      <c r="H188" s="10" t="str">
        <f t="shared" si="12"/>
        <v>E029|20260921|P101</v>
      </c>
      <c r="I188" s="17">
        <f>SUMIFS(Time_Entries!$J$5:$J$332,Time_Entries!$M$5:$M$332,H188,Time_Entries!$N$5:$N$332,"")</f>
        <v>8</v>
      </c>
      <c r="J188" s="18">
        <f t="shared" si="13"/>
        <v>0</v>
      </c>
      <c r="K188" s="13">
        <f>IFERROR(INDEX(Lists!$L$5:$L$20,MATCH(INDEX(Lists!$C$5:$C$34,MATCH(B188,Lists!$A$5:$A$34,0))&amp;"|"&amp;D188,Lists!$I$5:$I$20,0)),"")</f>
        <v>98</v>
      </c>
      <c r="L188" s="19">
        <f t="shared" si="14"/>
        <v>0</v>
      </c>
      <c r="M188" s="15">
        <f t="shared" si="15"/>
        <v>784</v>
      </c>
      <c r="N188" s="20">
        <f t="shared" si="16"/>
        <v>0</v>
      </c>
      <c r="O188" s="10" t="str">
        <f t="shared" si="17"/>
        <v>OK</v>
      </c>
    </row>
    <row r="189" spans="1:15" x14ac:dyDescent="0.25">
      <c r="A189" s="7" t="s">
        <v>597</v>
      </c>
      <c r="B189" s="7" t="s">
        <v>385</v>
      </c>
      <c r="C189" s="9">
        <v>46286</v>
      </c>
      <c r="D189" s="7" t="s">
        <v>46</v>
      </c>
      <c r="E189" s="11">
        <v>8</v>
      </c>
      <c r="F189" s="12">
        <v>103</v>
      </c>
      <c r="G189" s="16">
        <v>824</v>
      </c>
      <c r="H189" s="10" t="str">
        <f t="shared" si="12"/>
        <v>E030|20260921|P102</v>
      </c>
      <c r="I189" s="17">
        <f>SUMIFS(Time_Entries!$J$5:$J$332,Time_Entries!$M$5:$M$332,H189,Time_Entries!$N$5:$N$332,"")</f>
        <v>8</v>
      </c>
      <c r="J189" s="18">
        <f t="shared" si="13"/>
        <v>0</v>
      </c>
      <c r="K189" s="13">
        <f>IFERROR(INDEX(Lists!$L$5:$L$20,MATCH(INDEX(Lists!$C$5:$C$34,MATCH(B189,Lists!$A$5:$A$34,0))&amp;"|"&amp;D189,Lists!$I$5:$I$20,0)),"")</f>
        <v>103</v>
      </c>
      <c r="L189" s="19">
        <f t="shared" si="14"/>
        <v>0</v>
      </c>
      <c r="M189" s="15">
        <f t="shared" si="15"/>
        <v>824</v>
      </c>
      <c r="N189" s="20">
        <f t="shared" si="16"/>
        <v>0</v>
      </c>
      <c r="O189" s="10" t="str">
        <f t="shared" si="17"/>
        <v>OK</v>
      </c>
    </row>
    <row r="190" spans="1:15" x14ac:dyDescent="0.25">
      <c r="A190" s="7" t="s">
        <v>598</v>
      </c>
      <c r="B190" s="7" t="s">
        <v>40</v>
      </c>
      <c r="C190" s="9">
        <v>46287</v>
      </c>
      <c r="D190" s="7" t="s">
        <v>41</v>
      </c>
      <c r="E190" s="11">
        <v>4</v>
      </c>
      <c r="F190" s="12">
        <v>78</v>
      </c>
      <c r="G190" s="16">
        <v>312</v>
      </c>
      <c r="H190" s="10" t="str">
        <f t="shared" si="12"/>
        <v>E001|20260922|P101</v>
      </c>
      <c r="I190" s="17">
        <f>SUMIFS(Time_Entries!$J$5:$J$332,Time_Entries!$M$5:$M$332,H190,Time_Entries!$N$5:$N$332,"")</f>
        <v>4</v>
      </c>
      <c r="J190" s="18">
        <f t="shared" si="13"/>
        <v>0</v>
      </c>
      <c r="K190" s="13">
        <f>IFERROR(INDEX(Lists!$L$5:$L$20,MATCH(INDEX(Lists!$C$5:$C$34,MATCH(B190,Lists!$A$5:$A$34,0))&amp;"|"&amp;D190,Lists!$I$5:$I$20,0)),"")</f>
        <v>78</v>
      </c>
      <c r="L190" s="19">
        <f t="shared" si="14"/>
        <v>0</v>
      </c>
      <c r="M190" s="15">
        <f t="shared" si="15"/>
        <v>312</v>
      </c>
      <c r="N190" s="20">
        <f t="shared" si="16"/>
        <v>0</v>
      </c>
      <c r="O190" s="10" t="str">
        <f t="shared" si="17"/>
        <v>OK</v>
      </c>
    </row>
    <row r="191" spans="1:15" x14ac:dyDescent="0.25">
      <c r="A191" s="7" t="s">
        <v>599</v>
      </c>
      <c r="B191" s="7" t="s">
        <v>58</v>
      </c>
      <c r="C191" s="9">
        <v>46287</v>
      </c>
      <c r="D191" s="7" t="s">
        <v>46</v>
      </c>
      <c r="E191" s="11">
        <v>4</v>
      </c>
      <c r="F191" s="12">
        <v>82</v>
      </c>
      <c r="G191" s="16">
        <v>328</v>
      </c>
      <c r="H191" s="10" t="str">
        <f t="shared" si="12"/>
        <v>E002|20260922|P102</v>
      </c>
      <c r="I191" s="17">
        <f>SUMIFS(Time_Entries!$J$5:$J$332,Time_Entries!$M$5:$M$332,H191,Time_Entries!$N$5:$N$332,"")</f>
        <v>4</v>
      </c>
      <c r="J191" s="18">
        <f t="shared" si="13"/>
        <v>0</v>
      </c>
      <c r="K191" s="13">
        <f>IFERROR(INDEX(Lists!$L$5:$L$20,MATCH(INDEX(Lists!$C$5:$C$34,MATCH(B191,Lists!$A$5:$A$34,0))&amp;"|"&amp;D191,Lists!$I$5:$I$20,0)),"")</f>
        <v>82</v>
      </c>
      <c r="L191" s="19">
        <f t="shared" si="14"/>
        <v>0</v>
      </c>
      <c r="M191" s="15">
        <f t="shared" si="15"/>
        <v>328</v>
      </c>
      <c r="N191" s="20">
        <f t="shared" si="16"/>
        <v>0</v>
      </c>
      <c r="O191" s="10" t="str">
        <f t="shared" si="17"/>
        <v>OK</v>
      </c>
    </row>
    <row r="192" spans="1:15" x14ac:dyDescent="0.25">
      <c r="A192" s="7" t="s">
        <v>600</v>
      </c>
      <c r="B192" s="7" t="s">
        <v>58</v>
      </c>
      <c r="C192" s="9">
        <v>46287</v>
      </c>
      <c r="D192" s="7" t="s">
        <v>50</v>
      </c>
      <c r="E192" s="11">
        <v>4</v>
      </c>
      <c r="F192" s="12">
        <v>74</v>
      </c>
      <c r="G192" s="16">
        <v>296</v>
      </c>
      <c r="H192" s="10" t="str">
        <f t="shared" si="12"/>
        <v>E002|20260922|P103</v>
      </c>
      <c r="I192" s="17">
        <f>SUMIFS(Time_Entries!$J$5:$J$332,Time_Entries!$M$5:$M$332,H192,Time_Entries!$N$5:$N$332,"")</f>
        <v>4</v>
      </c>
      <c r="J192" s="18">
        <f t="shared" si="13"/>
        <v>0</v>
      </c>
      <c r="K192" s="13">
        <f>IFERROR(INDEX(Lists!$L$5:$L$20,MATCH(INDEX(Lists!$C$5:$C$34,MATCH(B192,Lists!$A$5:$A$34,0))&amp;"|"&amp;D192,Lists!$I$5:$I$20,0)),"")</f>
        <v>74</v>
      </c>
      <c r="L192" s="19">
        <f t="shared" si="14"/>
        <v>0</v>
      </c>
      <c r="M192" s="15">
        <f t="shared" si="15"/>
        <v>296</v>
      </c>
      <c r="N192" s="20">
        <f t="shared" si="16"/>
        <v>0</v>
      </c>
      <c r="O192" s="10" t="str">
        <f t="shared" si="17"/>
        <v>OK</v>
      </c>
    </row>
    <row r="193" spans="1:15" x14ac:dyDescent="0.25">
      <c r="A193" s="7" t="s">
        <v>601</v>
      </c>
      <c r="B193" s="7" t="s">
        <v>72</v>
      </c>
      <c r="C193" s="9">
        <v>46287</v>
      </c>
      <c r="D193" s="7" t="s">
        <v>41</v>
      </c>
      <c r="E193" s="11">
        <v>4</v>
      </c>
      <c r="F193" s="12">
        <v>78</v>
      </c>
      <c r="G193" s="16">
        <v>312</v>
      </c>
      <c r="H193" s="10" t="str">
        <f t="shared" si="12"/>
        <v>E003|20260922|P101</v>
      </c>
      <c r="I193" s="17">
        <f>SUMIFS(Time_Entries!$J$5:$J$332,Time_Entries!$M$5:$M$332,H193,Time_Entries!$N$5:$N$332,"")</f>
        <v>4</v>
      </c>
      <c r="J193" s="18">
        <f t="shared" si="13"/>
        <v>0</v>
      </c>
      <c r="K193" s="13">
        <f>IFERROR(INDEX(Lists!$L$5:$L$20,MATCH(INDEX(Lists!$C$5:$C$34,MATCH(B193,Lists!$A$5:$A$34,0))&amp;"|"&amp;D193,Lists!$I$5:$I$20,0)),"")</f>
        <v>78</v>
      </c>
      <c r="L193" s="19">
        <f t="shared" si="14"/>
        <v>0</v>
      </c>
      <c r="M193" s="15">
        <f t="shared" si="15"/>
        <v>312</v>
      </c>
      <c r="N193" s="20">
        <f t="shared" si="16"/>
        <v>0</v>
      </c>
      <c r="O193" s="10" t="str">
        <f t="shared" si="17"/>
        <v>OK</v>
      </c>
    </row>
    <row r="194" spans="1:15" x14ac:dyDescent="0.25">
      <c r="A194" s="7" t="s">
        <v>602</v>
      </c>
      <c r="B194" s="7" t="s">
        <v>72</v>
      </c>
      <c r="C194" s="9">
        <v>46287</v>
      </c>
      <c r="D194" s="7" t="s">
        <v>50</v>
      </c>
      <c r="E194" s="11">
        <v>4</v>
      </c>
      <c r="F194" s="12">
        <v>74</v>
      </c>
      <c r="G194" s="16">
        <v>296</v>
      </c>
      <c r="H194" s="10" t="str">
        <f t="shared" si="12"/>
        <v>E003|20260922|P103</v>
      </c>
      <c r="I194" s="17">
        <f>SUMIFS(Time_Entries!$J$5:$J$332,Time_Entries!$M$5:$M$332,H194,Time_Entries!$N$5:$N$332,"")</f>
        <v>4</v>
      </c>
      <c r="J194" s="18">
        <f t="shared" si="13"/>
        <v>0</v>
      </c>
      <c r="K194" s="13">
        <f>IFERROR(INDEX(Lists!$L$5:$L$20,MATCH(INDEX(Lists!$C$5:$C$34,MATCH(B194,Lists!$A$5:$A$34,0))&amp;"|"&amp;D194,Lists!$I$5:$I$20,0)),"")</f>
        <v>74</v>
      </c>
      <c r="L194" s="19">
        <f t="shared" si="14"/>
        <v>0</v>
      </c>
      <c r="M194" s="15">
        <f t="shared" si="15"/>
        <v>296</v>
      </c>
      <c r="N194" s="20">
        <f t="shared" si="16"/>
        <v>0</v>
      </c>
      <c r="O194" s="10" t="str">
        <f t="shared" si="17"/>
        <v>OK</v>
      </c>
    </row>
    <row r="195" spans="1:15" x14ac:dyDescent="0.25">
      <c r="A195" s="7" t="s">
        <v>603</v>
      </c>
      <c r="B195" s="7" t="s">
        <v>87</v>
      </c>
      <c r="C195" s="9">
        <v>46287</v>
      </c>
      <c r="D195" s="7" t="s">
        <v>74</v>
      </c>
      <c r="E195" s="11">
        <v>8</v>
      </c>
      <c r="F195" s="12">
        <v>86</v>
      </c>
      <c r="G195" s="16">
        <v>688</v>
      </c>
      <c r="H195" s="10" t="str">
        <f t="shared" si="12"/>
        <v>E004|20260922|P104</v>
      </c>
      <c r="I195" s="17">
        <f>SUMIFS(Time_Entries!$J$5:$J$332,Time_Entries!$M$5:$M$332,H195,Time_Entries!$N$5:$N$332,"")</f>
        <v>8</v>
      </c>
      <c r="J195" s="18">
        <f t="shared" si="13"/>
        <v>0</v>
      </c>
      <c r="K195" s="13">
        <f>IFERROR(INDEX(Lists!$L$5:$L$20,MATCH(INDEX(Lists!$C$5:$C$34,MATCH(B195,Lists!$A$5:$A$34,0))&amp;"|"&amp;D195,Lists!$I$5:$I$20,0)),"")</f>
        <v>86</v>
      </c>
      <c r="L195" s="19">
        <f t="shared" si="14"/>
        <v>0</v>
      </c>
      <c r="M195" s="15">
        <f t="shared" si="15"/>
        <v>688</v>
      </c>
      <c r="N195" s="20">
        <f t="shared" si="16"/>
        <v>0</v>
      </c>
      <c r="O195" s="10" t="str">
        <f t="shared" si="17"/>
        <v>OK</v>
      </c>
    </row>
    <row r="196" spans="1:15" x14ac:dyDescent="0.25">
      <c r="A196" s="7" t="s">
        <v>604</v>
      </c>
      <c r="B196" s="7" t="s">
        <v>99</v>
      </c>
      <c r="C196" s="9">
        <v>46287</v>
      </c>
      <c r="D196" s="7" t="s">
        <v>41</v>
      </c>
      <c r="E196" s="11">
        <v>8</v>
      </c>
      <c r="F196" s="12">
        <v>86</v>
      </c>
      <c r="G196" s="16">
        <v>688</v>
      </c>
      <c r="H196" s="10" t="str">
        <f t="shared" si="12"/>
        <v>E005|20260922|P101</v>
      </c>
      <c r="I196" s="17">
        <f>SUMIFS(Time_Entries!$J$5:$J$332,Time_Entries!$M$5:$M$332,H196,Time_Entries!$N$5:$N$332,"")</f>
        <v>8</v>
      </c>
      <c r="J196" s="18">
        <f t="shared" si="13"/>
        <v>0</v>
      </c>
      <c r="K196" s="13">
        <f>IFERROR(INDEX(Lists!$L$5:$L$20,MATCH(INDEX(Lists!$C$5:$C$34,MATCH(B196,Lists!$A$5:$A$34,0))&amp;"|"&amp;D196,Lists!$I$5:$I$20,0)),"")</f>
        <v>78</v>
      </c>
      <c r="L196" s="19">
        <f t="shared" si="14"/>
        <v>8</v>
      </c>
      <c r="M196" s="15">
        <f t="shared" si="15"/>
        <v>624</v>
      </c>
      <c r="N196" s="20">
        <f t="shared" si="16"/>
        <v>64</v>
      </c>
      <c r="O196" s="10" t="str">
        <f t="shared" si="17"/>
        <v>RATE</v>
      </c>
    </row>
    <row r="197" spans="1:15" x14ac:dyDescent="0.25">
      <c r="A197" s="7" t="s">
        <v>605</v>
      </c>
      <c r="B197" s="7" t="s">
        <v>110</v>
      </c>
      <c r="C197" s="9">
        <v>46287</v>
      </c>
      <c r="D197" s="7" t="s">
        <v>46</v>
      </c>
      <c r="E197" s="11">
        <v>8</v>
      </c>
      <c r="F197" s="12">
        <v>82</v>
      </c>
      <c r="G197" s="16">
        <v>656</v>
      </c>
      <c r="H197" s="10" t="str">
        <f t="shared" ref="H197:H260" si="18">B197&amp;"|"&amp;TEXT(C197,"yyyymmdd")&amp;"|"&amp;D197</f>
        <v>E006|20260922|P102</v>
      </c>
      <c r="I197" s="17">
        <f>SUMIFS(Time_Entries!$J$5:$J$332,Time_Entries!$M$5:$M$332,H197,Time_Entries!$N$5:$N$332,"")</f>
        <v>8</v>
      </c>
      <c r="J197" s="18">
        <f t="shared" ref="J197:J260" si="19">E197-I197</f>
        <v>0</v>
      </c>
      <c r="K197" s="13">
        <f>IFERROR(INDEX(Lists!$L$5:$L$20,MATCH(INDEX(Lists!$C$5:$C$34,MATCH(B197,Lists!$A$5:$A$34,0))&amp;"|"&amp;D197,Lists!$I$5:$I$20,0)),"")</f>
        <v>82</v>
      </c>
      <c r="L197" s="19">
        <f t="shared" ref="L197:L260" si="20">IF(K197="","",F197-K197)</f>
        <v>0</v>
      </c>
      <c r="M197" s="15">
        <f t="shared" ref="M197:M260" si="21">IF(K197="",0,I197*K197)</f>
        <v>656</v>
      </c>
      <c r="N197" s="20">
        <f t="shared" ref="N197:N260" si="22">G197-M197</f>
        <v>0</v>
      </c>
      <c r="O197" s="10" t="str">
        <f t="shared" ref="O197:O260" si="23">IF(I197=0,"NO TIME ENTRY",IF(ABS(J197)&gt;0.001,"HOURS",IF(AND(K197&lt;&gt;"",ABS(L197)&gt;0.001),"RATE","OK")))</f>
        <v>OK</v>
      </c>
    </row>
    <row r="198" spans="1:15" x14ac:dyDescent="0.25">
      <c r="A198" s="7" t="s">
        <v>606</v>
      </c>
      <c r="B198" s="7" t="s">
        <v>124</v>
      </c>
      <c r="C198" s="9">
        <v>46287</v>
      </c>
      <c r="D198" s="7" t="s">
        <v>50</v>
      </c>
      <c r="E198" s="11">
        <v>4</v>
      </c>
      <c r="F198" s="12">
        <v>74</v>
      </c>
      <c r="G198" s="16">
        <v>296</v>
      </c>
      <c r="H198" s="10" t="str">
        <f t="shared" si="18"/>
        <v>E007|20260922|P103</v>
      </c>
      <c r="I198" s="17">
        <f>SUMIFS(Time_Entries!$J$5:$J$332,Time_Entries!$M$5:$M$332,H198,Time_Entries!$N$5:$N$332,"")</f>
        <v>4</v>
      </c>
      <c r="J198" s="18">
        <f t="shared" si="19"/>
        <v>0</v>
      </c>
      <c r="K198" s="13">
        <f>IFERROR(INDEX(Lists!$L$5:$L$20,MATCH(INDEX(Lists!$C$5:$C$34,MATCH(B198,Lists!$A$5:$A$34,0))&amp;"|"&amp;D198,Lists!$I$5:$I$20,0)),"")</f>
        <v>74</v>
      </c>
      <c r="L198" s="19">
        <f t="shared" si="20"/>
        <v>0</v>
      </c>
      <c r="M198" s="15">
        <f t="shared" si="21"/>
        <v>296</v>
      </c>
      <c r="N198" s="20">
        <f t="shared" si="22"/>
        <v>0</v>
      </c>
      <c r="O198" s="10" t="str">
        <f t="shared" si="23"/>
        <v>OK</v>
      </c>
    </row>
    <row r="199" spans="1:15" x14ac:dyDescent="0.25">
      <c r="A199" s="7" t="s">
        <v>607</v>
      </c>
      <c r="B199" s="7" t="s">
        <v>136</v>
      </c>
      <c r="C199" s="9">
        <v>46287</v>
      </c>
      <c r="D199" s="7" t="s">
        <v>74</v>
      </c>
      <c r="E199" s="11">
        <v>8</v>
      </c>
      <c r="F199" s="12">
        <v>86</v>
      </c>
      <c r="G199" s="16">
        <v>688</v>
      </c>
      <c r="H199" s="10" t="str">
        <f t="shared" si="18"/>
        <v>E008|20260922|P104</v>
      </c>
      <c r="I199" s="17">
        <f>SUMIFS(Time_Entries!$J$5:$J$332,Time_Entries!$M$5:$M$332,H199,Time_Entries!$N$5:$N$332,"")</f>
        <v>8</v>
      </c>
      <c r="J199" s="18">
        <f t="shared" si="19"/>
        <v>0</v>
      </c>
      <c r="K199" s="13">
        <f>IFERROR(INDEX(Lists!$L$5:$L$20,MATCH(INDEX(Lists!$C$5:$C$34,MATCH(B199,Lists!$A$5:$A$34,0))&amp;"|"&amp;D199,Lists!$I$5:$I$20,0)),"")</f>
        <v>86</v>
      </c>
      <c r="L199" s="19">
        <f t="shared" si="20"/>
        <v>0</v>
      </c>
      <c r="M199" s="15">
        <f t="shared" si="21"/>
        <v>688</v>
      </c>
      <c r="N199" s="20">
        <f t="shared" si="22"/>
        <v>0</v>
      </c>
      <c r="O199" s="10" t="str">
        <f t="shared" si="23"/>
        <v>OK</v>
      </c>
    </row>
    <row r="200" spans="1:15" x14ac:dyDescent="0.25">
      <c r="A200" s="7" t="s">
        <v>608</v>
      </c>
      <c r="B200" s="7" t="s">
        <v>147</v>
      </c>
      <c r="C200" s="9">
        <v>46287</v>
      </c>
      <c r="D200" s="7" t="s">
        <v>41</v>
      </c>
      <c r="E200" s="11">
        <v>8</v>
      </c>
      <c r="F200" s="12">
        <v>78</v>
      </c>
      <c r="G200" s="16">
        <v>624</v>
      </c>
      <c r="H200" s="10" t="str">
        <f t="shared" si="18"/>
        <v>E009|20260922|P101</v>
      </c>
      <c r="I200" s="17">
        <f>SUMIFS(Time_Entries!$J$5:$J$332,Time_Entries!$M$5:$M$332,H200,Time_Entries!$N$5:$N$332,"")</f>
        <v>8</v>
      </c>
      <c r="J200" s="18">
        <f t="shared" si="19"/>
        <v>0</v>
      </c>
      <c r="K200" s="13">
        <f>IFERROR(INDEX(Lists!$L$5:$L$20,MATCH(INDEX(Lists!$C$5:$C$34,MATCH(B200,Lists!$A$5:$A$34,0))&amp;"|"&amp;D200,Lists!$I$5:$I$20,0)),"")</f>
        <v>78</v>
      </c>
      <c r="L200" s="19">
        <f t="shared" si="20"/>
        <v>0</v>
      </c>
      <c r="M200" s="15">
        <f t="shared" si="21"/>
        <v>624</v>
      </c>
      <c r="N200" s="20">
        <f t="shared" si="22"/>
        <v>0</v>
      </c>
      <c r="O200" s="10" t="str">
        <f t="shared" si="23"/>
        <v>OK</v>
      </c>
    </row>
    <row r="201" spans="1:15" x14ac:dyDescent="0.25">
      <c r="A201" s="7" t="s">
        <v>609</v>
      </c>
      <c r="B201" s="7" t="s">
        <v>158</v>
      </c>
      <c r="C201" s="9">
        <v>46287</v>
      </c>
      <c r="D201" s="7" t="s">
        <v>46</v>
      </c>
      <c r="E201" s="11">
        <v>8</v>
      </c>
      <c r="F201" s="12">
        <v>110</v>
      </c>
      <c r="G201" s="16">
        <v>880</v>
      </c>
      <c r="H201" s="10" t="str">
        <f t="shared" si="18"/>
        <v>E010|20260922|P102</v>
      </c>
      <c r="I201" s="17">
        <f>SUMIFS(Time_Entries!$J$5:$J$332,Time_Entries!$M$5:$M$332,H201,Time_Entries!$N$5:$N$332,"")</f>
        <v>8</v>
      </c>
      <c r="J201" s="18">
        <f t="shared" si="19"/>
        <v>0</v>
      </c>
      <c r="K201" s="13">
        <f>IFERROR(INDEX(Lists!$L$5:$L$20,MATCH(INDEX(Lists!$C$5:$C$34,MATCH(B201,Lists!$A$5:$A$34,0))&amp;"|"&amp;D201,Lists!$I$5:$I$20,0)),"")</f>
        <v>110</v>
      </c>
      <c r="L201" s="19">
        <f t="shared" si="20"/>
        <v>0</v>
      </c>
      <c r="M201" s="15">
        <f t="shared" si="21"/>
        <v>880</v>
      </c>
      <c r="N201" s="20">
        <f t="shared" si="22"/>
        <v>0</v>
      </c>
      <c r="O201" s="10" t="str">
        <f t="shared" si="23"/>
        <v>OK</v>
      </c>
    </row>
    <row r="202" spans="1:15" x14ac:dyDescent="0.25">
      <c r="A202" s="7" t="s">
        <v>610</v>
      </c>
      <c r="B202" s="7" t="s">
        <v>180</v>
      </c>
      <c r="C202" s="9">
        <v>46287</v>
      </c>
      <c r="D202" s="7" t="s">
        <v>41</v>
      </c>
      <c r="E202" s="11">
        <v>4</v>
      </c>
      <c r="F202" s="12">
        <v>105</v>
      </c>
      <c r="G202" s="16">
        <v>420</v>
      </c>
      <c r="H202" s="10" t="str">
        <f t="shared" si="18"/>
        <v>E012|20260922|P101</v>
      </c>
      <c r="I202" s="17">
        <f>SUMIFS(Time_Entries!$J$5:$J$332,Time_Entries!$M$5:$M$332,H202,Time_Entries!$N$5:$N$332,"")</f>
        <v>4</v>
      </c>
      <c r="J202" s="18">
        <f t="shared" si="19"/>
        <v>0</v>
      </c>
      <c r="K202" s="13">
        <f>IFERROR(INDEX(Lists!$L$5:$L$20,MATCH(INDEX(Lists!$C$5:$C$34,MATCH(B202,Lists!$A$5:$A$34,0))&amp;"|"&amp;D202,Lists!$I$5:$I$20,0)),"")</f>
        <v>105</v>
      </c>
      <c r="L202" s="19">
        <f t="shared" si="20"/>
        <v>0</v>
      </c>
      <c r="M202" s="15">
        <f t="shared" si="21"/>
        <v>420</v>
      </c>
      <c r="N202" s="20">
        <f t="shared" si="22"/>
        <v>0</v>
      </c>
      <c r="O202" s="10" t="str">
        <f t="shared" si="23"/>
        <v>OK</v>
      </c>
    </row>
    <row r="203" spans="1:15" x14ac:dyDescent="0.25">
      <c r="A203" s="7" t="s">
        <v>611</v>
      </c>
      <c r="B203" s="7" t="s">
        <v>180</v>
      </c>
      <c r="C203" s="9">
        <v>46287</v>
      </c>
      <c r="D203" s="7" t="s">
        <v>74</v>
      </c>
      <c r="E203" s="11">
        <v>4</v>
      </c>
      <c r="F203" s="12">
        <v>116</v>
      </c>
      <c r="G203" s="16">
        <v>464</v>
      </c>
      <c r="H203" s="10" t="str">
        <f t="shared" si="18"/>
        <v>E012|20260922|P104</v>
      </c>
      <c r="I203" s="17">
        <f>SUMIFS(Time_Entries!$J$5:$J$332,Time_Entries!$M$5:$M$332,H203,Time_Entries!$N$5:$N$332,"")</f>
        <v>0</v>
      </c>
      <c r="J203" s="18">
        <f t="shared" si="19"/>
        <v>4</v>
      </c>
      <c r="K203" s="13">
        <f>IFERROR(INDEX(Lists!$L$5:$L$20,MATCH(INDEX(Lists!$C$5:$C$34,MATCH(B203,Lists!$A$5:$A$34,0))&amp;"|"&amp;D203,Lists!$I$5:$I$20,0)),"")</f>
        <v>116</v>
      </c>
      <c r="L203" s="19">
        <f t="shared" si="20"/>
        <v>0</v>
      </c>
      <c r="M203" s="15">
        <f t="shared" si="21"/>
        <v>0</v>
      </c>
      <c r="N203" s="20">
        <f t="shared" si="22"/>
        <v>464</v>
      </c>
      <c r="O203" s="10" t="str">
        <f t="shared" si="23"/>
        <v>NO TIME ENTRY</v>
      </c>
    </row>
    <row r="204" spans="1:15" x14ac:dyDescent="0.25">
      <c r="A204" s="7" t="s">
        <v>612</v>
      </c>
      <c r="B204" s="7" t="s">
        <v>194</v>
      </c>
      <c r="C204" s="9">
        <v>46287</v>
      </c>
      <c r="D204" s="7" t="s">
        <v>41</v>
      </c>
      <c r="E204" s="11">
        <v>8</v>
      </c>
      <c r="F204" s="12">
        <v>105</v>
      </c>
      <c r="G204" s="16">
        <v>840</v>
      </c>
      <c r="H204" s="10" t="str">
        <f t="shared" si="18"/>
        <v>E013|20260922|P101</v>
      </c>
      <c r="I204" s="17">
        <f>SUMIFS(Time_Entries!$J$5:$J$332,Time_Entries!$M$5:$M$332,H204,Time_Entries!$N$5:$N$332,"")</f>
        <v>8</v>
      </c>
      <c r="J204" s="18">
        <f t="shared" si="19"/>
        <v>0</v>
      </c>
      <c r="K204" s="13">
        <f>IFERROR(INDEX(Lists!$L$5:$L$20,MATCH(INDEX(Lists!$C$5:$C$34,MATCH(B204,Lists!$A$5:$A$34,0))&amp;"|"&amp;D204,Lists!$I$5:$I$20,0)),"")</f>
        <v>105</v>
      </c>
      <c r="L204" s="19">
        <f t="shared" si="20"/>
        <v>0</v>
      </c>
      <c r="M204" s="15">
        <f t="shared" si="21"/>
        <v>840</v>
      </c>
      <c r="N204" s="20">
        <f t="shared" si="22"/>
        <v>0</v>
      </c>
      <c r="O204" s="10" t="str">
        <f t="shared" si="23"/>
        <v>OK</v>
      </c>
    </row>
    <row r="205" spans="1:15" x14ac:dyDescent="0.25">
      <c r="A205" s="7" t="s">
        <v>613</v>
      </c>
      <c r="B205" s="7" t="s">
        <v>206</v>
      </c>
      <c r="C205" s="9">
        <v>46287</v>
      </c>
      <c r="D205" s="7" t="s">
        <v>46</v>
      </c>
      <c r="E205" s="11">
        <v>8</v>
      </c>
      <c r="F205" s="12">
        <v>110</v>
      </c>
      <c r="G205" s="16">
        <v>880</v>
      </c>
      <c r="H205" s="10" t="str">
        <f t="shared" si="18"/>
        <v>E014|20260922|P102</v>
      </c>
      <c r="I205" s="17">
        <f>SUMIFS(Time_Entries!$J$5:$J$332,Time_Entries!$M$5:$M$332,H205,Time_Entries!$N$5:$N$332,"")</f>
        <v>8</v>
      </c>
      <c r="J205" s="18">
        <f t="shared" si="19"/>
        <v>0</v>
      </c>
      <c r="K205" s="13">
        <f>IFERROR(INDEX(Lists!$L$5:$L$20,MATCH(INDEX(Lists!$C$5:$C$34,MATCH(B205,Lists!$A$5:$A$34,0))&amp;"|"&amp;D205,Lists!$I$5:$I$20,0)),"")</f>
        <v>110</v>
      </c>
      <c r="L205" s="19">
        <f t="shared" si="20"/>
        <v>0</v>
      </c>
      <c r="M205" s="15">
        <f t="shared" si="21"/>
        <v>880</v>
      </c>
      <c r="N205" s="20">
        <f t="shared" si="22"/>
        <v>0</v>
      </c>
      <c r="O205" s="10" t="str">
        <f t="shared" si="23"/>
        <v>OK</v>
      </c>
    </row>
    <row r="206" spans="1:15" x14ac:dyDescent="0.25">
      <c r="A206" s="7" t="s">
        <v>614</v>
      </c>
      <c r="B206" s="7" t="s">
        <v>217</v>
      </c>
      <c r="C206" s="9">
        <v>46287</v>
      </c>
      <c r="D206" s="7" t="s">
        <v>50</v>
      </c>
      <c r="E206" s="11">
        <v>8</v>
      </c>
      <c r="F206" s="12">
        <v>100</v>
      </c>
      <c r="G206" s="16">
        <v>800</v>
      </c>
      <c r="H206" s="10" t="str">
        <f t="shared" si="18"/>
        <v>E015|20260922|P103</v>
      </c>
      <c r="I206" s="17">
        <f>SUMIFS(Time_Entries!$J$5:$J$332,Time_Entries!$M$5:$M$332,H206,Time_Entries!$N$5:$N$332,"")</f>
        <v>8</v>
      </c>
      <c r="J206" s="18">
        <f t="shared" si="19"/>
        <v>0</v>
      </c>
      <c r="K206" s="13">
        <f>IFERROR(INDEX(Lists!$L$5:$L$20,MATCH(INDEX(Lists!$C$5:$C$34,MATCH(B206,Lists!$A$5:$A$34,0))&amp;"|"&amp;D206,Lists!$I$5:$I$20,0)),"")</f>
        <v>100</v>
      </c>
      <c r="L206" s="19">
        <f t="shared" si="20"/>
        <v>0</v>
      </c>
      <c r="M206" s="15">
        <f t="shared" si="21"/>
        <v>800</v>
      </c>
      <c r="N206" s="20">
        <f t="shared" si="22"/>
        <v>0</v>
      </c>
      <c r="O206" s="10" t="str">
        <f t="shared" si="23"/>
        <v>OK</v>
      </c>
    </row>
    <row r="207" spans="1:15" x14ac:dyDescent="0.25">
      <c r="A207" s="7" t="s">
        <v>615</v>
      </c>
      <c r="B207" s="7" t="s">
        <v>229</v>
      </c>
      <c r="C207" s="9">
        <v>46287</v>
      </c>
      <c r="D207" s="7" t="s">
        <v>74</v>
      </c>
      <c r="E207" s="11">
        <v>8</v>
      </c>
      <c r="F207" s="12">
        <v>130</v>
      </c>
      <c r="G207" s="16">
        <v>1040</v>
      </c>
      <c r="H207" s="10" t="str">
        <f t="shared" si="18"/>
        <v>E016|20260922|P104</v>
      </c>
      <c r="I207" s="17">
        <f>SUMIFS(Time_Entries!$J$5:$J$332,Time_Entries!$M$5:$M$332,H207,Time_Entries!$N$5:$N$332,"")</f>
        <v>8</v>
      </c>
      <c r="J207" s="18">
        <f t="shared" si="19"/>
        <v>0</v>
      </c>
      <c r="K207" s="13">
        <f>IFERROR(INDEX(Lists!$L$5:$L$20,MATCH(INDEX(Lists!$C$5:$C$34,MATCH(B207,Lists!$A$5:$A$34,0))&amp;"|"&amp;D207,Lists!$I$5:$I$20,0)),"")</f>
        <v>130</v>
      </c>
      <c r="L207" s="19">
        <f t="shared" si="20"/>
        <v>0</v>
      </c>
      <c r="M207" s="15">
        <f t="shared" si="21"/>
        <v>1040</v>
      </c>
      <c r="N207" s="20">
        <f t="shared" si="22"/>
        <v>0</v>
      </c>
      <c r="O207" s="10" t="str">
        <f t="shared" si="23"/>
        <v>OK</v>
      </c>
    </row>
    <row r="208" spans="1:15" x14ac:dyDescent="0.25">
      <c r="A208" s="7" t="s">
        <v>616</v>
      </c>
      <c r="B208" s="7" t="s">
        <v>240</v>
      </c>
      <c r="C208" s="9">
        <v>46287</v>
      </c>
      <c r="D208" s="7" t="s">
        <v>41</v>
      </c>
      <c r="E208" s="11">
        <v>8</v>
      </c>
      <c r="F208" s="12">
        <v>118</v>
      </c>
      <c r="G208" s="16">
        <v>944</v>
      </c>
      <c r="H208" s="10" t="str">
        <f t="shared" si="18"/>
        <v>E017|20260922|P101</v>
      </c>
      <c r="I208" s="17">
        <f>SUMIFS(Time_Entries!$J$5:$J$332,Time_Entries!$M$5:$M$332,H208,Time_Entries!$N$5:$N$332,"")</f>
        <v>8</v>
      </c>
      <c r="J208" s="18">
        <f t="shared" si="19"/>
        <v>0</v>
      </c>
      <c r="K208" s="13">
        <f>IFERROR(INDEX(Lists!$L$5:$L$20,MATCH(INDEX(Lists!$C$5:$C$34,MATCH(B208,Lists!$A$5:$A$34,0))&amp;"|"&amp;D208,Lists!$I$5:$I$20,0)),"")</f>
        <v>118</v>
      </c>
      <c r="L208" s="19">
        <f t="shared" si="20"/>
        <v>0</v>
      </c>
      <c r="M208" s="15">
        <f t="shared" si="21"/>
        <v>944</v>
      </c>
      <c r="N208" s="20">
        <f t="shared" si="22"/>
        <v>0</v>
      </c>
      <c r="O208" s="10" t="str">
        <f t="shared" si="23"/>
        <v>OK</v>
      </c>
    </row>
    <row r="209" spans="1:15" x14ac:dyDescent="0.25">
      <c r="A209" s="7" t="s">
        <v>617</v>
      </c>
      <c r="B209" s="7" t="s">
        <v>250</v>
      </c>
      <c r="C209" s="9">
        <v>46287</v>
      </c>
      <c r="D209" s="7" t="s">
        <v>41</v>
      </c>
      <c r="E209" s="11">
        <v>4</v>
      </c>
      <c r="F209" s="12">
        <v>118</v>
      </c>
      <c r="G209" s="16">
        <v>472</v>
      </c>
      <c r="H209" s="10" t="str">
        <f t="shared" si="18"/>
        <v>E018|20260922|P101</v>
      </c>
      <c r="I209" s="17">
        <f>SUMIFS(Time_Entries!$J$5:$J$332,Time_Entries!$M$5:$M$332,H209,Time_Entries!$N$5:$N$332,"")</f>
        <v>4</v>
      </c>
      <c r="J209" s="18">
        <f t="shared" si="19"/>
        <v>0</v>
      </c>
      <c r="K209" s="13">
        <f>IFERROR(INDEX(Lists!$L$5:$L$20,MATCH(INDEX(Lists!$C$5:$C$34,MATCH(B209,Lists!$A$5:$A$34,0))&amp;"|"&amp;D209,Lists!$I$5:$I$20,0)),"")</f>
        <v>118</v>
      </c>
      <c r="L209" s="19">
        <f t="shared" si="20"/>
        <v>0</v>
      </c>
      <c r="M209" s="15">
        <f t="shared" si="21"/>
        <v>472</v>
      </c>
      <c r="N209" s="20">
        <f t="shared" si="22"/>
        <v>0</v>
      </c>
      <c r="O209" s="10" t="str">
        <f t="shared" si="23"/>
        <v>OK</v>
      </c>
    </row>
    <row r="210" spans="1:15" x14ac:dyDescent="0.25">
      <c r="A210" s="7" t="s">
        <v>618</v>
      </c>
      <c r="B210" s="7" t="s">
        <v>250</v>
      </c>
      <c r="C210" s="9">
        <v>46287</v>
      </c>
      <c r="D210" s="7" t="s">
        <v>46</v>
      </c>
      <c r="E210" s="11">
        <v>4</v>
      </c>
      <c r="F210" s="12">
        <v>124</v>
      </c>
      <c r="G210" s="16">
        <v>496</v>
      </c>
      <c r="H210" s="10" t="str">
        <f t="shared" si="18"/>
        <v>E018|20260922|P102</v>
      </c>
      <c r="I210" s="17">
        <f>SUMIFS(Time_Entries!$J$5:$J$332,Time_Entries!$M$5:$M$332,H210,Time_Entries!$N$5:$N$332,"")</f>
        <v>4</v>
      </c>
      <c r="J210" s="18">
        <f t="shared" si="19"/>
        <v>0</v>
      </c>
      <c r="K210" s="13">
        <f>IFERROR(INDEX(Lists!$L$5:$L$20,MATCH(INDEX(Lists!$C$5:$C$34,MATCH(B210,Lists!$A$5:$A$34,0))&amp;"|"&amp;D210,Lists!$I$5:$I$20,0)),"")</f>
        <v>124</v>
      </c>
      <c r="L210" s="19">
        <f t="shared" si="20"/>
        <v>0</v>
      </c>
      <c r="M210" s="15">
        <f t="shared" si="21"/>
        <v>496</v>
      </c>
      <c r="N210" s="20">
        <f t="shared" si="22"/>
        <v>0</v>
      </c>
      <c r="O210" s="10" t="str">
        <f t="shared" si="23"/>
        <v>OK</v>
      </c>
    </row>
    <row r="211" spans="1:15" x14ac:dyDescent="0.25">
      <c r="A211" s="7" t="s">
        <v>619</v>
      </c>
      <c r="B211" s="7" t="s">
        <v>262</v>
      </c>
      <c r="C211" s="9">
        <v>46287</v>
      </c>
      <c r="D211" s="7" t="s">
        <v>41</v>
      </c>
      <c r="E211" s="11">
        <v>4</v>
      </c>
      <c r="F211" s="12">
        <v>118</v>
      </c>
      <c r="G211" s="16">
        <v>472</v>
      </c>
      <c r="H211" s="10" t="str">
        <f t="shared" si="18"/>
        <v>E019|20260922|P101</v>
      </c>
      <c r="I211" s="17">
        <f>SUMIFS(Time_Entries!$J$5:$J$332,Time_Entries!$M$5:$M$332,H211,Time_Entries!$N$5:$N$332,"")</f>
        <v>4</v>
      </c>
      <c r="J211" s="18">
        <f t="shared" si="19"/>
        <v>0</v>
      </c>
      <c r="K211" s="13">
        <f>IFERROR(INDEX(Lists!$L$5:$L$20,MATCH(INDEX(Lists!$C$5:$C$34,MATCH(B211,Lists!$A$5:$A$34,0))&amp;"|"&amp;D211,Lists!$I$5:$I$20,0)),"")</f>
        <v>118</v>
      </c>
      <c r="L211" s="19">
        <f t="shared" si="20"/>
        <v>0</v>
      </c>
      <c r="M211" s="15">
        <f t="shared" si="21"/>
        <v>472</v>
      </c>
      <c r="N211" s="20">
        <f t="shared" si="22"/>
        <v>0</v>
      </c>
      <c r="O211" s="10" t="str">
        <f t="shared" si="23"/>
        <v>OK</v>
      </c>
    </row>
    <row r="212" spans="1:15" x14ac:dyDescent="0.25">
      <c r="A212" s="7" t="s">
        <v>620</v>
      </c>
      <c r="B212" s="7" t="s">
        <v>262</v>
      </c>
      <c r="C212" s="9">
        <v>46287</v>
      </c>
      <c r="D212" s="7" t="s">
        <v>50</v>
      </c>
      <c r="E212" s="11">
        <v>4</v>
      </c>
      <c r="F212" s="12">
        <v>112</v>
      </c>
      <c r="G212" s="16">
        <v>448</v>
      </c>
      <c r="H212" s="10" t="str">
        <f t="shared" si="18"/>
        <v>E019|20260922|P103</v>
      </c>
      <c r="I212" s="17">
        <f>SUMIFS(Time_Entries!$J$5:$J$332,Time_Entries!$M$5:$M$332,H212,Time_Entries!$N$5:$N$332,"")</f>
        <v>4</v>
      </c>
      <c r="J212" s="18">
        <f t="shared" si="19"/>
        <v>0</v>
      </c>
      <c r="K212" s="13">
        <f>IFERROR(INDEX(Lists!$L$5:$L$20,MATCH(INDEX(Lists!$C$5:$C$34,MATCH(B212,Lists!$A$5:$A$34,0))&amp;"|"&amp;D212,Lists!$I$5:$I$20,0)),"")</f>
        <v>112</v>
      </c>
      <c r="L212" s="19">
        <f t="shared" si="20"/>
        <v>0</v>
      </c>
      <c r="M212" s="15">
        <f t="shared" si="21"/>
        <v>448</v>
      </c>
      <c r="N212" s="20">
        <f t="shared" si="22"/>
        <v>0</v>
      </c>
      <c r="O212" s="10" t="str">
        <f t="shared" si="23"/>
        <v>OK</v>
      </c>
    </row>
    <row r="213" spans="1:15" x14ac:dyDescent="0.25">
      <c r="A213" s="7" t="s">
        <v>621</v>
      </c>
      <c r="B213" s="7" t="s">
        <v>273</v>
      </c>
      <c r="C213" s="9">
        <v>46287</v>
      </c>
      <c r="D213" s="7" t="s">
        <v>74</v>
      </c>
      <c r="E213" s="11">
        <v>8</v>
      </c>
      <c r="F213" s="12">
        <v>130</v>
      </c>
      <c r="G213" s="16">
        <v>1040</v>
      </c>
      <c r="H213" s="10" t="str">
        <f t="shared" si="18"/>
        <v>E020|20260922|P104</v>
      </c>
      <c r="I213" s="17">
        <f>SUMIFS(Time_Entries!$J$5:$J$332,Time_Entries!$M$5:$M$332,H213,Time_Entries!$N$5:$N$332,"")</f>
        <v>8</v>
      </c>
      <c r="J213" s="18">
        <f t="shared" si="19"/>
        <v>0</v>
      </c>
      <c r="K213" s="13">
        <f>IFERROR(INDEX(Lists!$L$5:$L$20,MATCH(INDEX(Lists!$C$5:$C$34,MATCH(B213,Lists!$A$5:$A$34,0))&amp;"|"&amp;D213,Lists!$I$5:$I$20,0)),"")</f>
        <v>130</v>
      </c>
      <c r="L213" s="19">
        <f t="shared" si="20"/>
        <v>0</v>
      </c>
      <c r="M213" s="15">
        <f t="shared" si="21"/>
        <v>1040</v>
      </c>
      <c r="N213" s="20">
        <f t="shared" si="22"/>
        <v>0</v>
      </c>
      <c r="O213" s="10" t="str">
        <f t="shared" si="23"/>
        <v>OK</v>
      </c>
    </row>
    <row r="214" spans="1:15" x14ac:dyDescent="0.25">
      <c r="A214" s="7" t="s">
        <v>622</v>
      </c>
      <c r="B214" s="7" t="s">
        <v>284</v>
      </c>
      <c r="C214" s="9">
        <v>46287</v>
      </c>
      <c r="D214" s="7" t="s">
        <v>41</v>
      </c>
      <c r="E214" s="11">
        <v>8</v>
      </c>
      <c r="F214" s="12">
        <v>118</v>
      </c>
      <c r="G214" s="16">
        <v>944</v>
      </c>
      <c r="H214" s="10" t="str">
        <f t="shared" si="18"/>
        <v>E021|20260922|P101</v>
      </c>
      <c r="I214" s="17">
        <f>SUMIFS(Time_Entries!$J$5:$J$332,Time_Entries!$M$5:$M$332,H214,Time_Entries!$N$5:$N$332,"")</f>
        <v>8</v>
      </c>
      <c r="J214" s="18">
        <f t="shared" si="19"/>
        <v>0</v>
      </c>
      <c r="K214" s="13">
        <f>IFERROR(INDEX(Lists!$L$5:$L$20,MATCH(INDEX(Lists!$C$5:$C$34,MATCH(B214,Lists!$A$5:$A$34,0))&amp;"|"&amp;D214,Lists!$I$5:$I$20,0)),"")</f>
        <v>118</v>
      </c>
      <c r="L214" s="19">
        <f t="shared" si="20"/>
        <v>0</v>
      </c>
      <c r="M214" s="15">
        <f t="shared" si="21"/>
        <v>944</v>
      </c>
      <c r="N214" s="20">
        <f t="shared" si="22"/>
        <v>0</v>
      </c>
      <c r="O214" s="10" t="str">
        <f t="shared" si="23"/>
        <v>OK</v>
      </c>
    </row>
    <row r="215" spans="1:15" x14ac:dyDescent="0.25">
      <c r="A215" s="7" t="s">
        <v>623</v>
      </c>
      <c r="B215" s="7" t="s">
        <v>295</v>
      </c>
      <c r="C215" s="9">
        <v>46287</v>
      </c>
      <c r="D215" s="7" t="s">
        <v>46</v>
      </c>
      <c r="E215" s="11">
        <v>8</v>
      </c>
      <c r="F215" s="12">
        <v>124</v>
      </c>
      <c r="G215" s="16">
        <v>992</v>
      </c>
      <c r="H215" s="10" t="str">
        <f t="shared" si="18"/>
        <v>E022|20260922|P102</v>
      </c>
      <c r="I215" s="17">
        <f>SUMIFS(Time_Entries!$J$5:$J$332,Time_Entries!$M$5:$M$332,H215,Time_Entries!$N$5:$N$332,"")</f>
        <v>8</v>
      </c>
      <c r="J215" s="18">
        <f t="shared" si="19"/>
        <v>0</v>
      </c>
      <c r="K215" s="13">
        <f>IFERROR(INDEX(Lists!$L$5:$L$20,MATCH(INDEX(Lists!$C$5:$C$34,MATCH(B215,Lists!$A$5:$A$34,0))&amp;"|"&amp;D215,Lists!$I$5:$I$20,0)),"")</f>
        <v>124</v>
      </c>
      <c r="L215" s="19">
        <f t="shared" si="20"/>
        <v>0</v>
      </c>
      <c r="M215" s="15">
        <f t="shared" si="21"/>
        <v>992</v>
      </c>
      <c r="N215" s="20">
        <f t="shared" si="22"/>
        <v>0</v>
      </c>
      <c r="O215" s="10" t="str">
        <f t="shared" si="23"/>
        <v>OK</v>
      </c>
    </row>
    <row r="216" spans="1:15" x14ac:dyDescent="0.25">
      <c r="A216" s="7" t="s">
        <v>624</v>
      </c>
      <c r="B216" s="7" t="s">
        <v>307</v>
      </c>
      <c r="C216" s="9">
        <v>46287</v>
      </c>
      <c r="D216" s="7" t="s">
        <v>50</v>
      </c>
      <c r="E216" s="11">
        <v>8</v>
      </c>
      <c r="F216" s="12">
        <v>112</v>
      </c>
      <c r="G216" s="16">
        <v>896</v>
      </c>
      <c r="H216" s="10" t="str">
        <f t="shared" si="18"/>
        <v>E023|20260922|P103</v>
      </c>
      <c r="I216" s="17">
        <f>SUMIFS(Time_Entries!$J$5:$J$332,Time_Entries!$M$5:$M$332,H216,Time_Entries!$N$5:$N$332,"")</f>
        <v>8</v>
      </c>
      <c r="J216" s="18">
        <f t="shared" si="19"/>
        <v>0</v>
      </c>
      <c r="K216" s="13">
        <f>IFERROR(INDEX(Lists!$L$5:$L$20,MATCH(INDEX(Lists!$C$5:$C$34,MATCH(B216,Lists!$A$5:$A$34,0))&amp;"|"&amp;D216,Lists!$I$5:$I$20,0)),"")</f>
        <v>112</v>
      </c>
      <c r="L216" s="19">
        <f t="shared" si="20"/>
        <v>0</v>
      </c>
      <c r="M216" s="15">
        <f t="shared" si="21"/>
        <v>896</v>
      </c>
      <c r="N216" s="20">
        <f t="shared" si="22"/>
        <v>0</v>
      </c>
      <c r="O216" s="10" t="str">
        <f t="shared" si="23"/>
        <v>OK</v>
      </c>
    </row>
    <row r="217" spans="1:15" x14ac:dyDescent="0.25">
      <c r="A217" s="7" t="s">
        <v>625</v>
      </c>
      <c r="B217" s="7" t="s">
        <v>317</v>
      </c>
      <c r="C217" s="9">
        <v>46287</v>
      </c>
      <c r="D217" s="7" t="s">
        <v>74</v>
      </c>
      <c r="E217" s="11">
        <v>8</v>
      </c>
      <c r="F217" s="12">
        <v>130</v>
      </c>
      <c r="G217" s="16">
        <v>1040</v>
      </c>
      <c r="H217" s="10" t="str">
        <f t="shared" si="18"/>
        <v>E024|20260922|P104</v>
      </c>
      <c r="I217" s="17">
        <f>SUMIFS(Time_Entries!$J$5:$J$332,Time_Entries!$M$5:$M$332,H217,Time_Entries!$N$5:$N$332,"")</f>
        <v>8</v>
      </c>
      <c r="J217" s="18">
        <f t="shared" si="19"/>
        <v>0</v>
      </c>
      <c r="K217" s="13">
        <f>IFERROR(INDEX(Lists!$L$5:$L$20,MATCH(INDEX(Lists!$C$5:$C$34,MATCH(B217,Lists!$A$5:$A$34,0))&amp;"|"&amp;D217,Lists!$I$5:$I$20,0)),"")</f>
        <v>130</v>
      </c>
      <c r="L217" s="19">
        <f t="shared" si="20"/>
        <v>0</v>
      </c>
      <c r="M217" s="15">
        <f t="shared" si="21"/>
        <v>1040</v>
      </c>
      <c r="N217" s="20">
        <f t="shared" si="22"/>
        <v>0</v>
      </c>
      <c r="O217" s="10" t="str">
        <f t="shared" si="23"/>
        <v>OK</v>
      </c>
    </row>
    <row r="218" spans="1:15" x14ac:dyDescent="0.25">
      <c r="A218" s="7" t="s">
        <v>626</v>
      </c>
      <c r="B218" s="7" t="s">
        <v>329</v>
      </c>
      <c r="C218" s="9">
        <v>46287</v>
      </c>
      <c r="D218" s="7" t="s">
        <v>41</v>
      </c>
      <c r="E218" s="11">
        <v>4</v>
      </c>
      <c r="F218" s="12">
        <v>98</v>
      </c>
      <c r="G218" s="16">
        <v>392</v>
      </c>
      <c r="H218" s="10" t="str">
        <f t="shared" si="18"/>
        <v>E025|20260922|P101</v>
      </c>
      <c r="I218" s="17">
        <f>SUMIFS(Time_Entries!$J$5:$J$332,Time_Entries!$M$5:$M$332,H218,Time_Entries!$N$5:$N$332,"")</f>
        <v>4</v>
      </c>
      <c r="J218" s="18">
        <f t="shared" si="19"/>
        <v>0</v>
      </c>
      <c r="K218" s="13">
        <f>IFERROR(INDEX(Lists!$L$5:$L$20,MATCH(INDEX(Lists!$C$5:$C$34,MATCH(B218,Lists!$A$5:$A$34,0))&amp;"|"&amp;D218,Lists!$I$5:$I$20,0)),"")</f>
        <v>98</v>
      </c>
      <c r="L218" s="19">
        <f t="shared" si="20"/>
        <v>0</v>
      </c>
      <c r="M218" s="15">
        <f t="shared" si="21"/>
        <v>392</v>
      </c>
      <c r="N218" s="20">
        <f t="shared" si="22"/>
        <v>0</v>
      </c>
      <c r="O218" s="10" t="str">
        <f t="shared" si="23"/>
        <v>OK</v>
      </c>
    </row>
    <row r="219" spans="1:15" x14ac:dyDescent="0.25">
      <c r="A219" s="7" t="s">
        <v>627</v>
      </c>
      <c r="B219" s="7" t="s">
        <v>342</v>
      </c>
      <c r="C219" s="9">
        <v>46287</v>
      </c>
      <c r="D219" s="7" t="s">
        <v>46</v>
      </c>
      <c r="E219" s="11">
        <v>8</v>
      </c>
      <c r="F219" s="12">
        <v>103</v>
      </c>
      <c r="G219" s="16">
        <v>824</v>
      </c>
      <c r="H219" s="10" t="str">
        <f t="shared" si="18"/>
        <v>E026|20260922|P102</v>
      </c>
      <c r="I219" s="17">
        <f>SUMIFS(Time_Entries!$J$5:$J$332,Time_Entries!$M$5:$M$332,H219,Time_Entries!$N$5:$N$332,"")</f>
        <v>8</v>
      </c>
      <c r="J219" s="18">
        <f t="shared" si="19"/>
        <v>0</v>
      </c>
      <c r="K219" s="13">
        <f>IFERROR(INDEX(Lists!$L$5:$L$20,MATCH(INDEX(Lists!$C$5:$C$34,MATCH(B219,Lists!$A$5:$A$34,0))&amp;"|"&amp;D219,Lists!$I$5:$I$20,0)),"")</f>
        <v>103</v>
      </c>
      <c r="L219" s="19">
        <f t="shared" si="20"/>
        <v>0</v>
      </c>
      <c r="M219" s="15">
        <f t="shared" si="21"/>
        <v>824</v>
      </c>
      <c r="N219" s="20">
        <f t="shared" si="22"/>
        <v>0</v>
      </c>
      <c r="O219" s="10" t="str">
        <f t="shared" si="23"/>
        <v>OK</v>
      </c>
    </row>
    <row r="220" spans="1:15" x14ac:dyDescent="0.25">
      <c r="A220" s="7" t="s">
        <v>628</v>
      </c>
      <c r="B220" s="7" t="s">
        <v>352</v>
      </c>
      <c r="C220" s="9">
        <v>46287</v>
      </c>
      <c r="D220" s="7" t="s">
        <v>50</v>
      </c>
      <c r="E220" s="11">
        <v>8</v>
      </c>
      <c r="F220" s="12">
        <v>93</v>
      </c>
      <c r="G220" s="16">
        <v>744</v>
      </c>
      <c r="H220" s="10" t="str">
        <f t="shared" si="18"/>
        <v>E027|20260922|P103</v>
      </c>
      <c r="I220" s="17">
        <f>SUMIFS(Time_Entries!$J$5:$J$332,Time_Entries!$M$5:$M$332,H220,Time_Entries!$N$5:$N$332,"")</f>
        <v>8</v>
      </c>
      <c r="J220" s="18">
        <f t="shared" si="19"/>
        <v>0</v>
      </c>
      <c r="K220" s="13">
        <f>IFERROR(INDEX(Lists!$L$5:$L$20,MATCH(INDEX(Lists!$C$5:$C$34,MATCH(B220,Lists!$A$5:$A$34,0))&amp;"|"&amp;D220,Lists!$I$5:$I$20,0)),"")</f>
        <v>93</v>
      </c>
      <c r="L220" s="19">
        <f t="shared" si="20"/>
        <v>0</v>
      </c>
      <c r="M220" s="15">
        <f t="shared" si="21"/>
        <v>744</v>
      </c>
      <c r="N220" s="20">
        <f t="shared" si="22"/>
        <v>0</v>
      </c>
      <c r="O220" s="10" t="str">
        <f t="shared" si="23"/>
        <v>OK</v>
      </c>
    </row>
    <row r="221" spans="1:15" x14ac:dyDescent="0.25">
      <c r="A221" s="7" t="s">
        <v>629</v>
      </c>
      <c r="B221" s="7" t="s">
        <v>363</v>
      </c>
      <c r="C221" s="9">
        <v>46287</v>
      </c>
      <c r="D221" s="7" t="s">
        <v>46</v>
      </c>
      <c r="E221" s="11">
        <v>4</v>
      </c>
      <c r="F221" s="12">
        <v>103</v>
      </c>
      <c r="G221" s="16">
        <v>412</v>
      </c>
      <c r="H221" s="10" t="str">
        <f t="shared" si="18"/>
        <v>E028|20260922|P102</v>
      </c>
      <c r="I221" s="17">
        <f>SUMIFS(Time_Entries!$J$5:$J$332,Time_Entries!$M$5:$M$332,H221,Time_Entries!$N$5:$N$332,"")</f>
        <v>4</v>
      </c>
      <c r="J221" s="18">
        <f t="shared" si="19"/>
        <v>0</v>
      </c>
      <c r="K221" s="13">
        <f>IFERROR(INDEX(Lists!$L$5:$L$20,MATCH(INDEX(Lists!$C$5:$C$34,MATCH(B221,Lists!$A$5:$A$34,0))&amp;"|"&amp;D221,Lists!$I$5:$I$20,0)),"")</f>
        <v>103</v>
      </c>
      <c r="L221" s="19">
        <f t="shared" si="20"/>
        <v>0</v>
      </c>
      <c r="M221" s="15">
        <f t="shared" si="21"/>
        <v>412</v>
      </c>
      <c r="N221" s="20">
        <f t="shared" si="22"/>
        <v>0</v>
      </c>
      <c r="O221" s="10" t="str">
        <f t="shared" si="23"/>
        <v>OK</v>
      </c>
    </row>
    <row r="222" spans="1:15" x14ac:dyDescent="0.25">
      <c r="A222" s="7" t="s">
        <v>630</v>
      </c>
      <c r="B222" s="7" t="s">
        <v>363</v>
      </c>
      <c r="C222" s="9">
        <v>46287</v>
      </c>
      <c r="D222" s="7" t="s">
        <v>74</v>
      </c>
      <c r="E222" s="11">
        <v>4</v>
      </c>
      <c r="F222" s="12">
        <v>108</v>
      </c>
      <c r="G222" s="16">
        <v>432</v>
      </c>
      <c r="H222" s="10" t="str">
        <f t="shared" si="18"/>
        <v>E028|20260922|P104</v>
      </c>
      <c r="I222" s="17">
        <f>SUMIFS(Time_Entries!$J$5:$J$332,Time_Entries!$M$5:$M$332,H222,Time_Entries!$N$5:$N$332,"")</f>
        <v>4</v>
      </c>
      <c r="J222" s="18">
        <f t="shared" si="19"/>
        <v>0</v>
      </c>
      <c r="K222" s="13">
        <f>IFERROR(INDEX(Lists!$L$5:$L$20,MATCH(INDEX(Lists!$C$5:$C$34,MATCH(B222,Lists!$A$5:$A$34,0))&amp;"|"&amp;D222,Lists!$I$5:$I$20,0)),"")</f>
        <v>108</v>
      </c>
      <c r="L222" s="19">
        <f t="shared" si="20"/>
        <v>0</v>
      </c>
      <c r="M222" s="15">
        <f t="shared" si="21"/>
        <v>432</v>
      </c>
      <c r="N222" s="20">
        <f t="shared" si="22"/>
        <v>0</v>
      </c>
      <c r="O222" s="10" t="str">
        <f t="shared" si="23"/>
        <v>OK</v>
      </c>
    </row>
    <row r="223" spans="1:15" x14ac:dyDescent="0.25">
      <c r="A223" s="7" t="s">
        <v>631</v>
      </c>
      <c r="B223" s="7" t="s">
        <v>375</v>
      </c>
      <c r="C223" s="9">
        <v>46287</v>
      </c>
      <c r="D223" s="7" t="s">
        <v>41</v>
      </c>
      <c r="E223" s="11">
        <v>8</v>
      </c>
      <c r="F223" s="12">
        <v>98</v>
      </c>
      <c r="G223" s="16">
        <v>784</v>
      </c>
      <c r="H223" s="10" t="str">
        <f t="shared" si="18"/>
        <v>E029|20260922|P101</v>
      </c>
      <c r="I223" s="17">
        <f>SUMIFS(Time_Entries!$J$5:$J$332,Time_Entries!$M$5:$M$332,H223,Time_Entries!$N$5:$N$332,"")</f>
        <v>8</v>
      </c>
      <c r="J223" s="18">
        <f t="shared" si="19"/>
        <v>0</v>
      </c>
      <c r="K223" s="13">
        <f>IFERROR(INDEX(Lists!$L$5:$L$20,MATCH(INDEX(Lists!$C$5:$C$34,MATCH(B223,Lists!$A$5:$A$34,0))&amp;"|"&amp;D223,Lists!$I$5:$I$20,0)),"")</f>
        <v>98</v>
      </c>
      <c r="L223" s="19">
        <f t="shared" si="20"/>
        <v>0</v>
      </c>
      <c r="M223" s="15">
        <f t="shared" si="21"/>
        <v>784</v>
      </c>
      <c r="N223" s="20">
        <f t="shared" si="22"/>
        <v>0</v>
      </c>
      <c r="O223" s="10" t="str">
        <f t="shared" si="23"/>
        <v>OK</v>
      </c>
    </row>
    <row r="224" spans="1:15" x14ac:dyDescent="0.25">
      <c r="A224" s="7" t="s">
        <v>632</v>
      </c>
      <c r="B224" s="7" t="s">
        <v>385</v>
      </c>
      <c r="C224" s="9">
        <v>46287</v>
      </c>
      <c r="D224" s="7" t="s">
        <v>46</v>
      </c>
      <c r="E224" s="11">
        <v>8</v>
      </c>
      <c r="F224" s="12">
        <v>103</v>
      </c>
      <c r="G224" s="16">
        <v>824</v>
      </c>
      <c r="H224" s="10" t="str">
        <f t="shared" si="18"/>
        <v>E030|20260922|P102</v>
      </c>
      <c r="I224" s="17">
        <f>SUMIFS(Time_Entries!$J$5:$J$332,Time_Entries!$M$5:$M$332,H224,Time_Entries!$N$5:$N$332,"")</f>
        <v>8</v>
      </c>
      <c r="J224" s="18">
        <f t="shared" si="19"/>
        <v>0</v>
      </c>
      <c r="K224" s="13">
        <f>IFERROR(INDEX(Lists!$L$5:$L$20,MATCH(INDEX(Lists!$C$5:$C$34,MATCH(B224,Lists!$A$5:$A$34,0))&amp;"|"&amp;D224,Lists!$I$5:$I$20,0)),"")</f>
        <v>103</v>
      </c>
      <c r="L224" s="19">
        <f t="shared" si="20"/>
        <v>0</v>
      </c>
      <c r="M224" s="15">
        <f t="shared" si="21"/>
        <v>824</v>
      </c>
      <c r="N224" s="20">
        <f t="shared" si="22"/>
        <v>0</v>
      </c>
      <c r="O224" s="10" t="str">
        <f t="shared" si="23"/>
        <v>OK</v>
      </c>
    </row>
    <row r="225" spans="1:15" x14ac:dyDescent="0.25">
      <c r="A225" s="7" t="s">
        <v>633</v>
      </c>
      <c r="B225" s="7" t="s">
        <v>40</v>
      </c>
      <c r="C225" s="9">
        <v>46288</v>
      </c>
      <c r="D225" s="7" t="s">
        <v>41</v>
      </c>
      <c r="E225" s="11">
        <v>8</v>
      </c>
      <c r="F225" s="12">
        <v>78</v>
      </c>
      <c r="G225" s="16">
        <v>624</v>
      </c>
      <c r="H225" s="10" t="str">
        <f t="shared" si="18"/>
        <v>E001|20260923|P101</v>
      </c>
      <c r="I225" s="17">
        <f>SUMIFS(Time_Entries!$J$5:$J$332,Time_Entries!$M$5:$M$332,H225,Time_Entries!$N$5:$N$332,"")</f>
        <v>8</v>
      </c>
      <c r="J225" s="18">
        <f t="shared" si="19"/>
        <v>0</v>
      </c>
      <c r="K225" s="13">
        <f>IFERROR(INDEX(Lists!$L$5:$L$20,MATCH(INDEX(Lists!$C$5:$C$34,MATCH(B225,Lists!$A$5:$A$34,0))&amp;"|"&amp;D225,Lists!$I$5:$I$20,0)),"")</f>
        <v>78</v>
      </c>
      <c r="L225" s="19">
        <f t="shared" si="20"/>
        <v>0</v>
      </c>
      <c r="M225" s="15">
        <f t="shared" si="21"/>
        <v>624</v>
      </c>
      <c r="N225" s="20">
        <f t="shared" si="22"/>
        <v>0</v>
      </c>
      <c r="O225" s="10" t="str">
        <f t="shared" si="23"/>
        <v>OK</v>
      </c>
    </row>
    <row r="226" spans="1:15" x14ac:dyDescent="0.25">
      <c r="A226" s="7" t="s">
        <v>634</v>
      </c>
      <c r="B226" s="7" t="s">
        <v>58</v>
      </c>
      <c r="C226" s="9">
        <v>46288</v>
      </c>
      <c r="D226" s="7" t="s">
        <v>46</v>
      </c>
      <c r="E226" s="11">
        <v>4</v>
      </c>
      <c r="F226" s="12">
        <v>82</v>
      </c>
      <c r="G226" s="16">
        <v>328</v>
      </c>
      <c r="H226" s="10" t="str">
        <f t="shared" si="18"/>
        <v>E002|20260923|P102</v>
      </c>
      <c r="I226" s="17">
        <f>SUMIFS(Time_Entries!$J$5:$J$332,Time_Entries!$M$5:$M$332,H226,Time_Entries!$N$5:$N$332,"")</f>
        <v>4</v>
      </c>
      <c r="J226" s="18">
        <f t="shared" si="19"/>
        <v>0</v>
      </c>
      <c r="K226" s="13">
        <f>IFERROR(INDEX(Lists!$L$5:$L$20,MATCH(INDEX(Lists!$C$5:$C$34,MATCH(B226,Lists!$A$5:$A$34,0))&amp;"|"&amp;D226,Lists!$I$5:$I$20,0)),"")</f>
        <v>82</v>
      </c>
      <c r="L226" s="19">
        <f t="shared" si="20"/>
        <v>0</v>
      </c>
      <c r="M226" s="15">
        <f t="shared" si="21"/>
        <v>328</v>
      </c>
      <c r="N226" s="20">
        <f t="shared" si="22"/>
        <v>0</v>
      </c>
      <c r="O226" s="10" t="str">
        <f t="shared" si="23"/>
        <v>OK</v>
      </c>
    </row>
    <row r="227" spans="1:15" x14ac:dyDescent="0.25">
      <c r="A227" s="7" t="s">
        <v>635</v>
      </c>
      <c r="B227" s="7" t="s">
        <v>58</v>
      </c>
      <c r="C227" s="9">
        <v>46288</v>
      </c>
      <c r="D227" s="7" t="s">
        <v>50</v>
      </c>
      <c r="E227" s="11">
        <v>4</v>
      </c>
      <c r="F227" s="12">
        <v>74</v>
      </c>
      <c r="G227" s="16">
        <v>296</v>
      </c>
      <c r="H227" s="10" t="str">
        <f t="shared" si="18"/>
        <v>E002|20260923|P103</v>
      </c>
      <c r="I227" s="17">
        <f>SUMIFS(Time_Entries!$J$5:$J$332,Time_Entries!$M$5:$M$332,H227,Time_Entries!$N$5:$N$332,"")</f>
        <v>4</v>
      </c>
      <c r="J227" s="18">
        <f t="shared" si="19"/>
        <v>0</v>
      </c>
      <c r="K227" s="13">
        <f>IFERROR(INDEX(Lists!$L$5:$L$20,MATCH(INDEX(Lists!$C$5:$C$34,MATCH(B227,Lists!$A$5:$A$34,0))&amp;"|"&amp;D227,Lists!$I$5:$I$20,0)),"")</f>
        <v>74</v>
      </c>
      <c r="L227" s="19">
        <f t="shared" si="20"/>
        <v>0</v>
      </c>
      <c r="M227" s="15">
        <f t="shared" si="21"/>
        <v>296</v>
      </c>
      <c r="N227" s="20">
        <f t="shared" si="22"/>
        <v>0</v>
      </c>
      <c r="O227" s="10" t="str">
        <f t="shared" si="23"/>
        <v>OK</v>
      </c>
    </row>
    <row r="228" spans="1:15" x14ac:dyDescent="0.25">
      <c r="A228" s="7" t="s">
        <v>636</v>
      </c>
      <c r="B228" s="7" t="s">
        <v>72</v>
      </c>
      <c r="C228" s="9">
        <v>46288</v>
      </c>
      <c r="D228" s="7" t="s">
        <v>50</v>
      </c>
      <c r="E228" s="11">
        <v>8</v>
      </c>
      <c r="F228" s="12">
        <v>74</v>
      </c>
      <c r="G228" s="16">
        <v>592</v>
      </c>
      <c r="H228" s="10" t="str">
        <f t="shared" si="18"/>
        <v>E003|20260923|P103</v>
      </c>
      <c r="I228" s="17">
        <f>SUMIFS(Time_Entries!$J$5:$J$332,Time_Entries!$M$5:$M$332,H228,Time_Entries!$N$5:$N$332,"")</f>
        <v>8</v>
      </c>
      <c r="J228" s="18">
        <f t="shared" si="19"/>
        <v>0</v>
      </c>
      <c r="K228" s="13">
        <f>IFERROR(INDEX(Lists!$L$5:$L$20,MATCH(INDEX(Lists!$C$5:$C$34,MATCH(B228,Lists!$A$5:$A$34,0))&amp;"|"&amp;D228,Lists!$I$5:$I$20,0)),"")</f>
        <v>74</v>
      </c>
      <c r="L228" s="19">
        <f t="shared" si="20"/>
        <v>0</v>
      </c>
      <c r="M228" s="15">
        <f t="shared" si="21"/>
        <v>592</v>
      </c>
      <c r="N228" s="20">
        <f t="shared" si="22"/>
        <v>0</v>
      </c>
      <c r="O228" s="10" t="str">
        <f t="shared" si="23"/>
        <v>OK</v>
      </c>
    </row>
    <row r="229" spans="1:15" x14ac:dyDescent="0.25">
      <c r="A229" s="7" t="s">
        <v>637</v>
      </c>
      <c r="B229" s="7" t="s">
        <v>87</v>
      </c>
      <c r="C229" s="9">
        <v>46288</v>
      </c>
      <c r="D229" s="7" t="s">
        <v>50</v>
      </c>
      <c r="E229" s="11">
        <v>4</v>
      </c>
      <c r="F229" s="12">
        <v>74</v>
      </c>
      <c r="G229" s="16">
        <v>296</v>
      </c>
      <c r="H229" s="10" t="str">
        <f t="shared" si="18"/>
        <v>E004|20260923|P103</v>
      </c>
      <c r="I229" s="17">
        <f>SUMIFS(Time_Entries!$J$5:$J$332,Time_Entries!$M$5:$M$332,H229,Time_Entries!$N$5:$N$332,"")</f>
        <v>4</v>
      </c>
      <c r="J229" s="18">
        <f t="shared" si="19"/>
        <v>0</v>
      </c>
      <c r="K229" s="13">
        <f>IFERROR(INDEX(Lists!$L$5:$L$20,MATCH(INDEX(Lists!$C$5:$C$34,MATCH(B229,Lists!$A$5:$A$34,0))&amp;"|"&amp;D229,Lists!$I$5:$I$20,0)),"")</f>
        <v>74</v>
      </c>
      <c r="L229" s="19">
        <f t="shared" si="20"/>
        <v>0</v>
      </c>
      <c r="M229" s="15">
        <f t="shared" si="21"/>
        <v>296</v>
      </c>
      <c r="N229" s="20">
        <f t="shared" si="22"/>
        <v>0</v>
      </c>
      <c r="O229" s="10" t="str">
        <f t="shared" si="23"/>
        <v>OK</v>
      </c>
    </row>
    <row r="230" spans="1:15" x14ac:dyDescent="0.25">
      <c r="A230" s="7" t="s">
        <v>638</v>
      </c>
      <c r="B230" s="7" t="s">
        <v>87</v>
      </c>
      <c r="C230" s="9">
        <v>46288</v>
      </c>
      <c r="D230" s="7" t="s">
        <v>74</v>
      </c>
      <c r="E230" s="11">
        <v>4</v>
      </c>
      <c r="F230" s="12">
        <v>86</v>
      </c>
      <c r="G230" s="16">
        <v>344</v>
      </c>
      <c r="H230" s="10" t="str">
        <f t="shared" si="18"/>
        <v>E004|20260923|P104</v>
      </c>
      <c r="I230" s="17">
        <f>SUMIFS(Time_Entries!$J$5:$J$332,Time_Entries!$M$5:$M$332,H230,Time_Entries!$N$5:$N$332,"")</f>
        <v>4</v>
      </c>
      <c r="J230" s="18">
        <f t="shared" si="19"/>
        <v>0</v>
      </c>
      <c r="K230" s="13">
        <f>IFERROR(INDEX(Lists!$L$5:$L$20,MATCH(INDEX(Lists!$C$5:$C$34,MATCH(B230,Lists!$A$5:$A$34,0))&amp;"|"&amp;D230,Lists!$I$5:$I$20,0)),"")</f>
        <v>86</v>
      </c>
      <c r="L230" s="19">
        <f t="shared" si="20"/>
        <v>0</v>
      </c>
      <c r="M230" s="15">
        <f t="shared" si="21"/>
        <v>344</v>
      </c>
      <c r="N230" s="20">
        <f t="shared" si="22"/>
        <v>0</v>
      </c>
      <c r="O230" s="10" t="str">
        <f t="shared" si="23"/>
        <v>OK</v>
      </c>
    </row>
    <row r="231" spans="1:15" x14ac:dyDescent="0.25">
      <c r="A231" s="7" t="s">
        <v>639</v>
      </c>
      <c r="B231" s="7" t="s">
        <v>99</v>
      </c>
      <c r="C231" s="9">
        <v>46288</v>
      </c>
      <c r="D231" s="7" t="s">
        <v>41</v>
      </c>
      <c r="E231" s="11">
        <v>8</v>
      </c>
      <c r="F231" s="12">
        <v>78</v>
      </c>
      <c r="G231" s="16">
        <v>624</v>
      </c>
      <c r="H231" s="10" t="str">
        <f t="shared" si="18"/>
        <v>E005|20260923|P101</v>
      </c>
      <c r="I231" s="17">
        <f>SUMIFS(Time_Entries!$J$5:$J$332,Time_Entries!$M$5:$M$332,H231,Time_Entries!$N$5:$N$332,"")</f>
        <v>8</v>
      </c>
      <c r="J231" s="18">
        <f t="shared" si="19"/>
        <v>0</v>
      </c>
      <c r="K231" s="13">
        <f>IFERROR(INDEX(Lists!$L$5:$L$20,MATCH(INDEX(Lists!$C$5:$C$34,MATCH(B231,Lists!$A$5:$A$34,0))&amp;"|"&amp;D231,Lists!$I$5:$I$20,0)),"")</f>
        <v>78</v>
      </c>
      <c r="L231" s="19">
        <f t="shared" si="20"/>
        <v>0</v>
      </c>
      <c r="M231" s="15">
        <f t="shared" si="21"/>
        <v>624</v>
      </c>
      <c r="N231" s="20">
        <f t="shared" si="22"/>
        <v>0</v>
      </c>
      <c r="O231" s="10" t="str">
        <f t="shared" si="23"/>
        <v>OK</v>
      </c>
    </row>
    <row r="232" spans="1:15" x14ac:dyDescent="0.25">
      <c r="A232" s="7" t="s">
        <v>640</v>
      </c>
      <c r="B232" s="7" t="s">
        <v>110</v>
      </c>
      <c r="C232" s="9">
        <v>46288</v>
      </c>
      <c r="D232" s="7" t="s">
        <v>46</v>
      </c>
      <c r="E232" s="11">
        <v>8</v>
      </c>
      <c r="F232" s="12">
        <v>82</v>
      </c>
      <c r="G232" s="16">
        <v>656</v>
      </c>
      <c r="H232" s="10" t="str">
        <f t="shared" si="18"/>
        <v>E006|20260923|P102</v>
      </c>
      <c r="I232" s="17">
        <f>SUMIFS(Time_Entries!$J$5:$J$332,Time_Entries!$M$5:$M$332,H232,Time_Entries!$N$5:$N$332,"")</f>
        <v>8</v>
      </c>
      <c r="J232" s="18">
        <f t="shared" si="19"/>
        <v>0</v>
      </c>
      <c r="K232" s="13">
        <f>IFERROR(INDEX(Lists!$L$5:$L$20,MATCH(INDEX(Lists!$C$5:$C$34,MATCH(B232,Lists!$A$5:$A$34,0))&amp;"|"&amp;D232,Lists!$I$5:$I$20,0)),"")</f>
        <v>82</v>
      </c>
      <c r="L232" s="19">
        <f t="shared" si="20"/>
        <v>0</v>
      </c>
      <c r="M232" s="15">
        <f t="shared" si="21"/>
        <v>656</v>
      </c>
      <c r="N232" s="20">
        <f t="shared" si="22"/>
        <v>0</v>
      </c>
      <c r="O232" s="10" t="str">
        <f t="shared" si="23"/>
        <v>OK</v>
      </c>
    </row>
    <row r="233" spans="1:15" x14ac:dyDescent="0.25">
      <c r="A233" s="7" t="s">
        <v>641</v>
      </c>
      <c r="B233" s="7" t="s">
        <v>124</v>
      </c>
      <c r="C233" s="9">
        <v>46288</v>
      </c>
      <c r="D233" s="7" t="s">
        <v>50</v>
      </c>
      <c r="E233" s="11">
        <v>8</v>
      </c>
      <c r="F233" s="12">
        <v>74</v>
      </c>
      <c r="G233" s="16">
        <v>592</v>
      </c>
      <c r="H233" s="10" t="str">
        <f t="shared" si="18"/>
        <v>E007|20260923|P103</v>
      </c>
      <c r="I233" s="17">
        <f>SUMIFS(Time_Entries!$J$5:$J$332,Time_Entries!$M$5:$M$332,H233,Time_Entries!$N$5:$N$332,"")</f>
        <v>8</v>
      </c>
      <c r="J233" s="18">
        <f t="shared" si="19"/>
        <v>0</v>
      </c>
      <c r="K233" s="13">
        <f>IFERROR(INDEX(Lists!$L$5:$L$20,MATCH(INDEX(Lists!$C$5:$C$34,MATCH(B233,Lists!$A$5:$A$34,0))&amp;"|"&amp;D233,Lists!$I$5:$I$20,0)),"")</f>
        <v>74</v>
      </c>
      <c r="L233" s="19">
        <f t="shared" si="20"/>
        <v>0</v>
      </c>
      <c r="M233" s="15">
        <f t="shared" si="21"/>
        <v>592</v>
      </c>
      <c r="N233" s="20">
        <f t="shared" si="22"/>
        <v>0</v>
      </c>
      <c r="O233" s="10" t="str">
        <f t="shared" si="23"/>
        <v>OK</v>
      </c>
    </row>
    <row r="234" spans="1:15" x14ac:dyDescent="0.25">
      <c r="A234" s="7" t="s">
        <v>642</v>
      </c>
      <c r="B234" s="7" t="s">
        <v>136</v>
      </c>
      <c r="C234" s="9">
        <v>46288</v>
      </c>
      <c r="D234" s="7" t="s">
        <v>74</v>
      </c>
      <c r="E234" s="11">
        <v>8</v>
      </c>
      <c r="F234" s="12">
        <v>86</v>
      </c>
      <c r="G234" s="16">
        <v>688</v>
      </c>
      <c r="H234" s="10" t="str">
        <f t="shared" si="18"/>
        <v>E008|20260923|P104</v>
      </c>
      <c r="I234" s="17">
        <f>SUMIFS(Time_Entries!$J$5:$J$332,Time_Entries!$M$5:$M$332,H234,Time_Entries!$N$5:$N$332,"")</f>
        <v>8</v>
      </c>
      <c r="J234" s="18">
        <f t="shared" si="19"/>
        <v>0</v>
      </c>
      <c r="K234" s="13">
        <f>IFERROR(INDEX(Lists!$L$5:$L$20,MATCH(INDEX(Lists!$C$5:$C$34,MATCH(B234,Lists!$A$5:$A$34,0))&amp;"|"&amp;D234,Lists!$I$5:$I$20,0)),"")</f>
        <v>86</v>
      </c>
      <c r="L234" s="19">
        <f t="shared" si="20"/>
        <v>0</v>
      </c>
      <c r="M234" s="15">
        <f t="shared" si="21"/>
        <v>688</v>
      </c>
      <c r="N234" s="20">
        <f t="shared" si="22"/>
        <v>0</v>
      </c>
      <c r="O234" s="10" t="str">
        <f t="shared" si="23"/>
        <v>OK</v>
      </c>
    </row>
    <row r="235" spans="1:15" x14ac:dyDescent="0.25">
      <c r="A235" s="7" t="s">
        <v>643</v>
      </c>
      <c r="B235" s="7" t="s">
        <v>147</v>
      </c>
      <c r="C235" s="9">
        <v>46288</v>
      </c>
      <c r="D235" s="7" t="s">
        <v>41</v>
      </c>
      <c r="E235" s="11">
        <v>8</v>
      </c>
      <c r="F235" s="12">
        <v>78</v>
      </c>
      <c r="G235" s="16">
        <v>624</v>
      </c>
      <c r="H235" s="10" t="str">
        <f t="shared" si="18"/>
        <v>E009|20260923|P101</v>
      </c>
      <c r="I235" s="17">
        <f>SUMIFS(Time_Entries!$J$5:$J$332,Time_Entries!$M$5:$M$332,H235,Time_Entries!$N$5:$N$332,"")</f>
        <v>8</v>
      </c>
      <c r="J235" s="18">
        <f t="shared" si="19"/>
        <v>0</v>
      </c>
      <c r="K235" s="13">
        <f>IFERROR(INDEX(Lists!$L$5:$L$20,MATCH(INDEX(Lists!$C$5:$C$34,MATCH(B235,Lists!$A$5:$A$34,0))&amp;"|"&amp;D235,Lists!$I$5:$I$20,0)),"")</f>
        <v>78</v>
      </c>
      <c r="L235" s="19">
        <f t="shared" si="20"/>
        <v>0</v>
      </c>
      <c r="M235" s="15">
        <f t="shared" si="21"/>
        <v>624</v>
      </c>
      <c r="N235" s="20">
        <f t="shared" si="22"/>
        <v>0</v>
      </c>
      <c r="O235" s="10" t="str">
        <f t="shared" si="23"/>
        <v>OK</v>
      </c>
    </row>
    <row r="236" spans="1:15" x14ac:dyDescent="0.25">
      <c r="A236" s="7" t="s">
        <v>644</v>
      </c>
      <c r="B236" s="7" t="s">
        <v>158</v>
      </c>
      <c r="C236" s="9">
        <v>46288</v>
      </c>
      <c r="D236" s="7" t="s">
        <v>46</v>
      </c>
      <c r="E236" s="11">
        <v>8</v>
      </c>
      <c r="F236" s="12">
        <v>110</v>
      </c>
      <c r="G236" s="16">
        <v>880</v>
      </c>
      <c r="H236" s="10" t="str">
        <f t="shared" si="18"/>
        <v>E010|20260923|P102</v>
      </c>
      <c r="I236" s="17">
        <f>SUMIFS(Time_Entries!$J$5:$J$332,Time_Entries!$M$5:$M$332,H236,Time_Entries!$N$5:$N$332,"")</f>
        <v>8</v>
      </c>
      <c r="J236" s="18">
        <f t="shared" si="19"/>
        <v>0</v>
      </c>
      <c r="K236" s="13">
        <f>IFERROR(INDEX(Lists!$L$5:$L$20,MATCH(INDEX(Lists!$C$5:$C$34,MATCH(B236,Lists!$A$5:$A$34,0))&amp;"|"&amp;D236,Lists!$I$5:$I$20,0)),"")</f>
        <v>110</v>
      </c>
      <c r="L236" s="19">
        <f t="shared" si="20"/>
        <v>0</v>
      </c>
      <c r="M236" s="15">
        <f t="shared" si="21"/>
        <v>880</v>
      </c>
      <c r="N236" s="20">
        <f t="shared" si="22"/>
        <v>0</v>
      </c>
      <c r="O236" s="10" t="str">
        <f t="shared" si="23"/>
        <v>OK</v>
      </c>
    </row>
    <row r="237" spans="1:15" x14ac:dyDescent="0.25">
      <c r="A237" s="7" t="s">
        <v>645</v>
      </c>
      <c r="B237" s="7" t="s">
        <v>170</v>
      </c>
      <c r="C237" s="9">
        <v>46288</v>
      </c>
      <c r="D237" s="7" t="s">
        <v>50</v>
      </c>
      <c r="E237" s="11">
        <v>8</v>
      </c>
      <c r="F237" s="12">
        <v>100</v>
      </c>
      <c r="G237" s="16">
        <v>800</v>
      </c>
      <c r="H237" s="10" t="str">
        <f t="shared" si="18"/>
        <v>E011|20260923|P103</v>
      </c>
      <c r="I237" s="17">
        <f>SUMIFS(Time_Entries!$J$5:$J$332,Time_Entries!$M$5:$M$332,H237,Time_Entries!$N$5:$N$332,"")</f>
        <v>8</v>
      </c>
      <c r="J237" s="18">
        <f t="shared" si="19"/>
        <v>0</v>
      </c>
      <c r="K237" s="13">
        <f>IFERROR(INDEX(Lists!$L$5:$L$20,MATCH(INDEX(Lists!$C$5:$C$34,MATCH(B237,Lists!$A$5:$A$34,0))&amp;"|"&amp;D237,Lists!$I$5:$I$20,0)),"")</f>
        <v>100</v>
      </c>
      <c r="L237" s="19">
        <f t="shared" si="20"/>
        <v>0</v>
      </c>
      <c r="M237" s="15">
        <f t="shared" si="21"/>
        <v>800</v>
      </c>
      <c r="N237" s="20">
        <f t="shared" si="22"/>
        <v>0</v>
      </c>
      <c r="O237" s="10" t="str">
        <f t="shared" si="23"/>
        <v>OK</v>
      </c>
    </row>
    <row r="238" spans="1:15" x14ac:dyDescent="0.25">
      <c r="A238" s="7" t="s">
        <v>646</v>
      </c>
      <c r="B238" s="7" t="s">
        <v>180</v>
      </c>
      <c r="C238" s="9">
        <v>46288</v>
      </c>
      <c r="D238" s="7" t="s">
        <v>46</v>
      </c>
      <c r="E238" s="11">
        <v>4</v>
      </c>
      <c r="F238" s="12">
        <v>110</v>
      </c>
      <c r="G238" s="16">
        <v>440</v>
      </c>
      <c r="H238" s="10" t="str">
        <f t="shared" si="18"/>
        <v>E012|20260923|P102</v>
      </c>
      <c r="I238" s="17">
        <f>SUMIFS(Time_Entries!$J$5:$J$332,Time_Entries!$M$5:$M$332,H238,Time_Entries!$N$5:$N$332,"")</f>
        <v>4</v>
      </c>
      <c r="J238" s="18">
        <f t="shared" si="19"/>
        <v>0</v>
      </c>
      <c r="K238" s="13">
        <f>IFERROR(INDEX(Lists!$L$5:$L$20,MATCH(INDEX(Lists!$C$5:$C$34,MATCH(B238,Lists!$A$5:$A$34,0))&amp;"|"&amp;D238,Lists!$I$5:$I$20,0)),"")</f>
        <v>110</v>
      </c>
      <c r="L238" s="19">
        <f t="shared" si="20"/>
        <v>0</v>
      </c>
      <c r="M238" s="15">
        <f t="shared" si="21"/>
        <v>440</v>
      </c>
      <c r="N238" s="20">
        <f t="shared" si="22"/>
        <v>0</v>
      </c>
      <c r="O238" s="10" t="str">
        <f t="shared" si="23"/>
        <v>OK</v>
      </c>
    </row>
    <row r="239" spans="1:15" x14ac:dyDescent="0.25">
      <c r="A239" s="7" t="s">
        <v>647</v>
      </c>
      <c r="B239" s="7" t="s">
        <v>180</v>
      </c>
      <c r="C239" s="9">
        <v>46288</v>
      </c>
      <c r="D239" s="7" t="s">
        <v>74</v>
      </c>
      <c r="E239" s="11">
        <v>4</v>
      </c>
      <c r="F239" s="12">
        <v>116</v>
      </c>
      <c r="G239" s="16">
        <v>464</v>
      </c>
      <c r="H239" s="10" t="str">
        <f t="shared" si="18"/>
        <v>E012|20260923|P104</v>
      </c>
      <c r="I239" s="17">
        <f>SUMIFS(Time_Entries!$J$5:$J$332,Time_Entries!$M$5:$M$332,H239,Time_Entries!$N$5:$N$332,"")</f>
        <v>4</v>
      </c>
      <c r="J239" s="18">
        <f t="shared" si="19"/>
        <v>0</v>
      </c>
      <c r="K239" s="13">
        <f>IFERROR(INDEX(Lists!$L$5:$L$20,MATCH(INDEX(Lists!$C$5:$C$34,MATCH(B239,Lists!$A$5:$A$34,0))&amp;"|"&amp;D239,Lists!$I$5:$I$20,0)),"")</f>
        <v>116</v>
      </c>
      <c r="L239" s="19">
        <f t="shared" si="20"/>
        <v>0</v>
      </c>
      <c r="M239" s="15">
        <f t="shared" si="21"/>
        <v>464</v>
      </c>
      <c r="N239" s="20">
        <f t="shared" si="22"/>
        <v>0</v>
      </c>
      <c r="O239" s="10" t="str">
        <f t="shared" si="23"/>
        <v>OK</v>
      </c>
    </row>
    <row r="240" spans="1:15" x14ac:dyDescent="0.25">
      <c r="A240" s="7" t="s">
        <v>648</v>
      </c>
      <c r="B240" s="7" t="s">
        <v>194</v>
      </c>
      <c r="C240" s="9">
        <v>46288</v>
      </c>
      <c r="D240" s="7" t="s">
        <v>41</v>
      </c>
      <c r="E240" s="11">
        <v>8</v>
      </c>
      <c r="F240" s="12">
        <v>105</v>
      </c>
      <c r="G240" s="16">
        <v>840</v>
      </c>
      <c r="H240" s="10" t="str">
        <f t="shared" si="18"/>
        <v>E013|20260923|P101</v>
      </c>
      <c r="I240" s="17">
        <f>SUMIFS(Time_Entries!$J$5:$J$332,Time_Entries!$M$5:$M$332,H240,Time_Entries!$N$5:$N$332,"")</f>
        <v>8</v>
      </c>
      <c r="J240" s="18">
        <f t="shared" si="19"/>
        <v>0</v>
      </c>
      <c r="K240" s="13">
        <f>IFERROR(INDEX(Lists!$L$5:$L$20,MATCH(INDEX(Lists!$C$5:$C$34,MATCH(B240,Lists!$A$5:$A$34,0))&amp;"|"&amp;D240,Lists!$I$5:$I$20,0)),"")</f>
        <v>105</v>
      </c>
      <c r="L240" s="19">
        <f t="shared" si="20"/>
        <v>0</v>
      </c>
      <c r="M240" s="15">
        <f t="shared" si="21"/>
        <v>840</v>
      </c>
      <c r="N240" s="20">
        <f t="shared" si="22"/>
        <v>0</v>
      </c>
      <c r="O240" s="10" t="str">
        <f t="shared" si="23"/>
        <v>OK</v>
      </c>
    </row>
    <row r="241" spans="1:15" x14ac:dyDescent="0.25">
      <c r="A241" s="7" t="s">
        <v>649</v>
      </c>
      <c r="B241" s="7" t="s">
        <v>206</v>
      </c>
      <c r="C241" s="9">
        <v>46288</v>
      </c>
      <c r="D241" s="7" t="s">
        <v>46</v>
      </c>
      <c r="E241" s="11">
        <v>8</v>
      </c>
      <c r="F241" s="12">
        <v>110</v>
      </c>
      <c r="G241" s="16">
        <v>880</v>
      </c>
      <c r="H241" s="10" t="str">
        <f t="shared" si="18"/>
        <v>E014|20260923|P102</v>
      </c>
      <c r="I241" s="17">
        <f>SUMIFS(Time_Entries!$J$5:$J$332,Time_Entries!$M$5:$M$332,H241,Time_Entries!$N$5:$N$332,"")</f>
        <v>8</v>
      </c>
      <c r="J241" s="18">
        <f t="shared" si="19"/>
        <v>0</v>
      </c>
      <c r="K241" s="13">
        <f>IFERROR(INDEX(Lists!$L$5:$L$20,MATCH(INDEX(Lists!$C$5:$C$34,MATCH(B241,Lists!$A$5:$A$34,0))&amp;"|"&amp;D241,Lists!$I$5:$I$20,0)),"")</f>
        <v>110</v>
      </c>
      <c r="L241" s="19">
        <f t="shared" si="20"/>
        <v>0</v>
      </c>
      <c r="M241" s="15">
        <f t="shared" si="21"/>
        <v>880</v>
      </c>
      <c r="N241" s="20">
        <f t="shared" si="22"/>
        <v>0</v>
      </c>
      <c r="O241" s="10" t="str">
        <f t="shared" si="23"/>
        <v>OK</v>
      </c>
    </row>
    <row r="242" spans="1:15" x14ac:dyDescent="0.25">
      <c r="A242" s="7" t="s">
        <v>650</v>
      </c>
      <c r="B242" s="7" t="s">
        <v>217</v>
      </c>
      <c r="C242" s="9">
        <v>46288</v>
      </c>
      <c r="D242" s="7" t="s">
        <v>50</v>
      </c>
      <c r="E242" s="11">
        <v>4</v>
      </c>
      <c r="F242" s="12">
        <v>100</v>
      </c>
      <c r="G242" s="16">
        <v>400</v>
      </c>
      <c r="H242" s="10" t="str">
        <f t="shared" si="18"/>
        <v>E015|20260923|P103</v>
      </c>
      <c r="I242" s="17">
        <f>SUMIFS(Time_Entries!$J$5:$J$332,Time_Entries!$M$5:$M$332,H242,Time_Entries!$N$5:$N$332,"")</f>
        <v>4</v>
      </c>
      <c r="J242" s="18">
        <f t="shared" si="19"/>
        <v>0</v>
      </c>
      <c r="K242" s="13">
        <f>IFERROR(INDEX(Lists!$L$5:$L$20,MATCH(INDEX(Lists!$C$5:$C$34,MATCH(B242,Lists!$A$5:$A$34,0))&amp;"|"&amp;D242,Lists!$I$5:$I$20,0)),"")</f>
        <v>100</v>
      </c>
      <c r="L242" s="19">
        <f t="shared" si="20"/>
        <v>0</v>
      </c>
      <c r="M242" s="15">
        <f t="shared" si="21"/>
        <v>400</v>
      </c>
      <c r="N242" s="20">
        <f t="shared" si="22"/>
        <v>0</v>
      </c>
      <c r="O242" s="10" t="str">
        <f t="shared" si="23"/>
        <v>OK</v>
      </c>
    </row>
    <row r="243" spans="1:15" x14ac:dyDescent="0.25">
      <c r="A243" s="7" t="s">
        <v>651</v>
      </c>
      <c r="B243" s="7" t="s">
        <v>217</v>
      </c>
      <c r="C243" s="9">
        <v>46288</v>
      </c>
      <c r="D243" s="7" t="s">
        <v>74</v>
      </c>
      <c r="E243" s="11">
        <v>4</v>
      </c>
      <c r="F243" s="12">
        <v>116</v>
      </c>
      <c r="G243" s="16">
        <v>464</v>
      </c>
      <c r="H243" s="10" t="str">
        <f t="shared" si="18"/>
        <v>E015|20260923|P104</v>
      </c>
      <c r="I243" s="17">
        <f>SUMIFS(Time_Entries!$J$5:$J$332,Time_Entries!$M$5:$M$332,H243,Time_Entries!$N$5:$N$332,"")</f>
        <v>4</v>
      </c>
      <c r="J243" s="18">
        <f t="shared" si="19"/>
        <v>0</v>
      </c>
      <c r="K243" s="13">
        <f>IFERROR(INDEX(Lists!$L$5:$L$20,MATCH(INDEX(Lists!$C$5:$C$34,MATCH(B243,Lists!$A$5:$A$34,0))&amp;"|"&amp;D243,Lists!$I$5:$I$20,0)),"")</f>
        <v>116</v>
      </c>
      <c r="L243" s="19">
        <f t="shared" si="20"/>
        <v>0</v>
      </c>
      <c r="M243" s="15">
        <f t="shared" si="21"/>
        <v>464</v>
      </c>
      <c r="N243" s="20">
        <f t="shared" si="22"/>
        <v>0</v>
      </c>
      <c r="O243" s="10" t="str">
        <f t="shared" si="23"/>
        <v>OK</v>
      </c>
    </row>
    <row r="244" spans="1:15" x14ac:dyDescent="0.25">
      <c r="A244" s="7" t="s">
        <v>652</v>
      </c>
      <c r="B244" s="7" t="s">
        <v>229</v>
      </c>
      <c r="C244" s="9">
        <v>46288</v>
      </c>
      <c r="D244" s="7" t="s">
        <v>74</v>
      </c>
      <c r="E244" s="11">
        <v>8</v>
      </c>
      <c r="F244" s="12">
        <v>130</v>
      </c>
      <c r="G244" s="16">
        <v>1040</v>
      </c>
      <c r="H244" s="10" t="str">
        <f t="shared" si="18"/>
        <v>E016|20260923|P104</v>
      </c>
      <c r="I244" s="17">
        <f>SUMIFS(Time_Entries!$J$5:$J$332,Time_Entries!$M$5:$M$332,H244,Time_Entries!$N$5:$N$332,"")</f>
        <v>8</v>
      </c>
      <c r="J244" s="18">
        <f t="shared" si="19"/>
        <v>0</v>
      </c>
      <c r="K244" s="13">
        <f>IFERROR(INDEX(Lists!$L$5:$L$20,MATCH(INDEX(Lists!$C$5:$C$34,MATCH(B244,Lists!$A$5:$A$34,0))&amp;"|"&amp;D244,Lists!$I$5:$I$20,0)),"")</f>
        <v>130</v>
      </c>
      <c r="L244" s="19">
        <f t="shared" si="20"/>
        <v>0</v>
      </c>
      <c r="M244" s="15">
        <f t="shared" si="21"/>
        <v>1040</v>
      </c>
      <c r="N244" s="20">
        <f t="shared" si="22"/>
        <v>0</v>
      </c>
      <c r="O244" s="10" t="str">
        <f t="shared" si="23"/>
        <v>OK</v>
      </c>
    </row>
    <row r="245" spans="1:15" x14ac:dyDescent="0.25">
      <c r="A245" s="7" t="s">
        <v>653</v>
      </c>
      <c r="B245" s="7" t="s">
        <v>240</v>
      </c>
      <c r="C245" s="9">
        <v>46288</v>
      </c>
      <c r="D245" s="7" t="s">
        <v>41</v>
      </c>
      <c r="E245" s="11">
        <v>8</v>
      </c>
      <c r="F245" s="12">
        <v>118</v>
      </c>
      <c r="G245" s="16">
        <v>944</v>
      </c>
      <c r="H245" s="10" t="str">
        <f t="shared" si="18"/>
        <v>E017|20260923|P101</v>
      </c>
      <c r="I245" s="17">
        <f>SUMIFS(Time_Entries!$J$5:$J$332,Time_Entries!$M$5:$M$332,H245,Time_Entries!$N$5:$N$332,"")</f>
        <v>8</v>
      </c>
      <c r="J245" s="18">
        <f t="shared" si="19"/>
        <v>0</v>
      </c>
      <c r="K245" s="13">
        <f>IFERROR(INDEX(Lists!$L$5:$L$20,MATCH(INDEX(Lists!$C$5:$C$34,MATCH(B245,Lists!$A$5:$A$34,0))&amp;"|"&amp;D245,Lists!$I$5:$I$20,0)),"")</f>
        <v>118</v>
      </c>
      <c r="L245" s="19">
        <f t="shared" si="20"/>
        <v>0</v>
      </c>
      <c r="M245" s="15">
        <f t="shared" si="21"/>
        <v>944</v>
      </c>
      <c r="N245" s="20">
        <f t="shared" si="22"/>
        <v>0</v>
      </c>
      <c r="O245" s="10" t="str">
        <f t="shared" si="23"/>
        <v>OK</v>
      </c>
    </row>
    <row r="246" spans="1:15" x14ac:dyDescent="0.25">
      <c r="A246" s="7" t="s">
        <v>654</v>
      </c>
      <c r="B246" s="7" t="s">
        <v>250</v>
      </c>
      <c r="C246" s="9">
        <v>46288</v>
      </c>
      <c r="D246" s="7" t="s">
        <v>46</v>
      </c>
      <c r="E246" s="11">
        <v>8</v>
      </c>
      <c r="F246" s="12">
        <v>124</v>
      </c>
      <c r="G246" s="16">
        <v>992</v>
      </c>
      <c r="H246" s="10" t="str">
        <f t="shared" si="18"/>
        <v>E018|20260923|P102</v>
      </c>
      <c r="I246" s="17">
        <f>SUMIFS(Time_Entries!$J$5:$J$332,Time_Entries!$M$5:$M$332,H246,Time_Entries!$N$5:$N$332,"")</f>
        <v>8</v>
      </c>
      <c r="J246" s="18">
        <f t="shared" si="19"/>
        <v>0</v>
      </c>
      <c r="K246" s="13">
        <f>IFERROR(INDEX(Lists!$L$5:$L$20,MATCH(INDEX(Lists!$C$5:$C$34,MATCH(B246,Lists!$A$5:$A$34,0))&amp;"|"&amp;D246,Lists!$I$5:$I$20,0)),"")</f>
        <v>124</v>
      </c>
      <c r="L246" s="19">
        <f t="shared" si="20"/>
        <v>0</v>
      </c>
      <c r="M246" s="15">
        <f t="shared" si="21"/>
        <v>992</v>
      </c>
      <c r="N246" s="20">
        <f t="shared" si="22"/>
        <v>0</v>
      </c>
      <c r="O246" s="10" t="str">
        <f t="shared" si="23"/>
        <v>OK</v>
      </c>
    </row>
    <row r="247" spans="1:15" x14ac:dyDescent="0.25">
      <c r="A247" s="7" t="s">
        <v>655</v>
      </c>
      <c r="B247" s="7" t="s">
        <v>273</v>
      </c>
      <c r="C247" s="9">
        <v>46288</v>
      </c>
      <c r="D247" s="7" t="s">
        <v>74</v>
      </c>
      <c r="E247" s="11">
        <v>8</v>
      </c>
      <c r="F247" s="12">
        <v>130</v>
      </c>
      <c r="G247" s="16">
        <v>1040</v>
      </c>
      <c r="H247" s="10" t="str">
        <f t="shared" si="18"/>
        <v>E020|20260923|P104</v>
      </c>
      <c r="I247" s="17">
        <f>SUMIFS(Time_Entries!$J$5:$J$332,Time_Entries!$M$5:$M$332,H247,Time_Entries!$N$5:$N$332,"")</f>
        <v>8</v>
      </c>
      <c r="J247" s="18">
        <f t="shared" si="19"/>
        <v>0</v>
      </c>
      <c r="K247" s="13">
        <f>IFERROR(INDEX(Lists!$L$5:$L$20,MATCH(INDEX(Lists!$C$5:$C$34,MATCH(B247,Lists!$A$5:$A$34,0))&amp;"|"&amp;D247,Lists!$I$5:$I$20,0)),"")</f>
        <v>130</v>
      </c>
      <c r="L247" s="19">
        <f t="shared" si="20"/>
        <v>0</v>
      </c>
      <c r="M247" s="15">
        <f t="shared" si="21"/>
        <v>1040</v>
      </c>
      <c r="N247" s="20">
        <f t="shared" si="22"/>
        <v>0</v>
      </c>
      <c r="O247" s="10" t="str">
        <f t="shared" si="23"/>
        <v>OK</v>
      </c>
    </row>
    <row r="248" spans="1:15" x14ac:dyDescent="0.25">
      <c r="A248" s="7" t="s">
        <v>656</v>
      </c>
      <c r="B248" s="7" t="s">
        <v>284</v>
      </c>
      <c r="C248" s="9">
        <v>46288</v>
      </c>
      <c r="D248" s="7" t="s">
        <v>41</v>
      </c>
      <c r="E248" s="11">
        <v>14.5</v>
      </c>
      <c r="F248" s="12">
        <v>118</v>
      </c>
      <c r="G248" s="16">
        <v>1711</v>
      </c>
      <c r="H248" s="10" t="str">
        <f t="shared" si="18"/>
        <v>E021|20260923|P101</v>
      </c>
      <c r="I248" s="17">
        <f>SUMIFS(Time_Entries!$J$5:$J$332,Time_Entries!$M$5:$M$332,H248,Time_Entries!$N$5:$N$332,"")</f>
        <v>14.5</v>
      </c>
      <c r="J248" s="18">
        <f t="shared" si="19"/>
        <v>0</v>
      </c>
      <c r="K248" s="13">
        <f>IFERROR(INDEX(Lists!$L$5:$L$20,MATCH(INDEX(Lists!$C$5:$C$34,MATCH(B248,Lists!$A$5:$A$34,0))&amp;"|"&amp;D248,Lists!$I$5:$I$20,0)),"")</f>
        <v>118</v>
      </c>
      <c r="L248" s="19">
        <f t="shared" si="20"/>
        <v>0</v>
      </c>
      <c r="M248" s="15">
        <f t="shared" si="21"/>
        <v>1711</v>
      </c>
      <c r="N248" s="20">
        <f t="shared" si="22"/>
        <v>0</v>
      </c>
      <c r="O248" s="10" t="str">
        <f t="shared" si="23"/>
        <v>OK</v>
      </c>
    </row>
    <row r="249" spans="1:15" x14ac:dyDescent="0.25">
      <c r="A249" s="7" t="s">
        <v>657</v>
      </c>
      <c r="B249" s="7" t="s">
        <v>295</v>
      </c>
      <c r="C249" s="9">
        <v>46288</v>
      </c>
      <c r="D249" s="7" t="s">
        <v>46</v>
      </c>
      <c r="E249" s="11">
        <v>8</v>
      </c>
      <c r="F249" s="12">
        <v>124</v>
      </c>
      <c r="G249" s="16">
        <v>992</v>
      </c>
      <c r="H249" s="10" t="str">
        <f t="shared" si="18"/>
        <v>E022|20260923|P102</v>
      </c>
      <c r="I249" s="17">
        <f>SUMIFS(Time_Entries!$J$5:$J$332,Time_Entries!$M$5:$M$332,H249,Time_Entries!$N$5:$N$332,"")</f>
        <v>8</v>
      </c>
      <c r="J249" s="18">
        <f t="shared" si="19"/>
        <v>0</v>
      </c>
      <c r="K249" s="13">
        <f>IFERROR(INDEX(Lists!$L$5:$L$20,MATCH(INDEX(Lists!$C$5:$C$34,MATCH(B249,Lists!$A$5:$A$34,0))&amp;"|"&amp;D249,Lists!$I$5:$I$20,0)),"")</f>
        <v>124</v>
      </c>
      <c r="L249" s="19">
        <f t="shared" si="20"/>
        <v>0</v>
      </c>
      <c r="M249" s="15">
        <f t="shared" si="21"/>
        <v>992</v>
      </c>
      <c r="N249" s="20">
        <f t="shared" si="22"/>
        <v>0</v>
      </c>
      <c r="O249" s="10" t="str">
        <f t="shared" si="23"/>
        <v>OK</v>
      </c>
    </row>
    <row r="250" spans="1:15" x14ac:dyDescent="0.25">
      <c r="A250" s="7" t="s">
        <v>658</v>
      </c>
      <c r="B250" s="7" t="s">
        <v>307</v>
      </c>
      <c r="C250" s="9">
        <v>46288</v>
      </c>
      <c r="D250" s="7" t="s">
        <v>50</v>
      </c>
      <c r="E250" s="11">
        <v>8</v>
      </c>
      <c r="F250" s="12">
        <v>112</v>
      </c>
      <c r="G250" s="16">
        <v>896</v>
      </c>
      <c r="H250" s="10" t="str">
        <f t="shared" si="18"/>
        <v>E023|20260923|P103</v>
      </c>
      <c r="I250" s="17">
        <f>SUMIFS(Time_Entries!$J$5:$J$332,Time_Entries!$M$5:$M$332,H250,Time_Entries!$N$5:$N$332,"")</f>
        <v>8</v>
      </c>
      <c r="J250" s="18">
        <f t="shared" si="19"/>
        <v>0</v>
      </c>
      <c r="K250" s="13">
        <f>IFERROR(INDEX(Lists!$L$5:$L$20,MATCH(INDEX(Lists!$C$5:$C$34,MATCH(B250,Lists!$A$5:$A$34,0))&amp;"|"&amp;D250,Lists!$I$5:$I$20,0)),"")</f>
        <v>112</v>
      </c>
      <c r="L250" s="19">
        <f t="shared" si="20"/>
        <v>0</v>
      </c>
      <c r="M250" s="15">
        <f t="shared" si="21"/>
        <v>896</v>
      </c>
      <c r="N250" s="20">
        <f t="shared" si="22"/>
        <v>0</v>
      </c>
      <c r="O250" s="10" t="str">
        <f t="shared" si="23"/>
        <v>OK</v>
      </c>
    </row>
    <row r="251" spans="1:15" x14ac:dyDescent="0.25">
      <c r="A251" s="7" t="s">
        <v>659</v>
      </c>
      <c r="B251" s="7" t="s">
        <v>317</v>
      </c>
      <c r="C251" s="9">
        <v>46288</v>
      </c>
      <c r="D251" s="7" t="s">
        <v>74</v>
      </c>
      <c r="E251" s="11">
        <v>8</v>
      </c>
      <c r="F251" s="12">
        <v>130</v>
      </c>
      <c r="G251" s="16">
        <v>1040</v>
      </c>
      <c r="H251" s="10" t="str">
        <f t="shared" si="18"/>
        <v>E024|20260923|P104</v>
      </c>
      <c r="I251" s="17">
        <f>SUMIFS(Time_Entries!$J$5:$J$332,Time_Entries!$M$5:$M$332,H251,Time_Entries!$N$5:$N$332,"")</f>
        <v>8</v>
      </c>
      <c r="J251" s="18">
        <f t="shared" si="19"/>
        <v>0</v>
      </c>
      <c r="K251" s="13">
        <f>IFERROR(INDEX(Lists!$L$5:$L$20,MATCH(INDEX(Lists!$C$5:$C$34,MATCH(B251,Lists!$A$5:$A$34,0))&amp;"|"&amp;D251,Lists!$I$5:$I$20,0)),"")</f>
        <v>130</v>
      </c>
      <c r="L251" s="19">
        <f t="shared" si="20"/>
        <v>0</v>
      </c>
      <c r="M251" s="15">
        <f t="shared" si="21"/>
        <v>1040</v>
      </c>
      <c r="N251" s="20">
        <f t="shared" si="22"/>
        <v>0</v>
      </c>
      <c r="O251" s="10" t="str">
        <f t="shared" si="23"/>
        <v>OK</v>
      </c>
    </row>
    <row r="252" spans="1:15" x14ac:dyDescent="0.25">
      <c r="A252" s="7" t="s">
        <v>660</v>
      </c>
      <c r="B252" s="7" t="s">
        <v>329</v>
      </c>
      <c r="C252" s="9">
        <v>46288</v>
      </c>
      <c r="D252" s="7" t="s">
        <v>41</v>
      </c>
      <c r="E252" s="11">
        <v>8</v>
      </c>
      <c r="F252" s="12">
        <v>98</v>
      </c>
      <c r="G252" s="16">
        <v>784</v>
      </c>
      <c r="H252" s="10" t="str">
        <f t="shared" si="18"/>
        <v>E025|20260923|P101</v>
      </c>
      <c r="I252" s="17">
        <f>SUMIFS(Time_Entries!$J$5:$J$332,Time_Entries!$M$5:$M$332,H252,Time_Entries!$N$5:$N$332,"")</f>
        <v>8</v>
      </c>
      <c r="J252" s="18">
        <f t="shared" si="19"/>
        <v>0</v>
      </c>
      <c r="K252" s="13">
        <f>IFERROR(INDEX(Lists!$L$5:$L$20,MATCH(INDEX(Lists!$C$5:$C$34,MATCH(B252,Lists!$A$5:$A$34,0))&amp;"|"&amp;D252,Lists!$I$5:$I$20,0)),"")</f>
        <v>98</v>
      </c>
      <c r="L252" s="19">
        <f t="shared" si="20"/>
        <v>0</v>
      </c>
      <c r="M252" s="15">
        <f t="shared" si="21"/>
        <v>784</v>
      </c>
      <c r="N252" s="20">
        <f t="shared" si="22"/>
        <v>0</v>
      </c>
      <c r="O252" s="10" t="str">
        <f t="shared" si="23"/>
        <v>OK</v>
      </c>
    </row>
    <row r="253" spans="1:15" x14ac:dyDescent="0.25">
      <c r="A253" s="7" t="s">
        <v>661</v>
      </c>
      <c r="B253" s="7" t="s">
        <v>342</v>
      </c>
      <c r="C253" s="9">
        <v>46288</v>
      </c>
      <c r="D253" s="7" t="s">
        <v>46</v>
      </c>
      <c r="E253" s="11">
        <v>8</v>
      </c>
      <c r="F253" s="12">
        <v>103</v>
      </c>
      <c r="G253" s="16">
        <v>824</v>
      </c>
      <c r="H253" s="10" t="str">
        <f t="shared" si="18"/>
        <v>E026|20260923|P102</v>
      </c>
      <c r="I253" s="17">
        <f>SUMIFS(Time_Entries!$J$5:$J$332,Time_Entries!$M$5:$M$332,H253,Time_Entries!$N$5:$N$332,"")</f>
        <v>8</v>
      </c>
      <c r="J253" s="18">
        <f t="shared" si="19"/>
        <v>0</v>
      </c>
      <c r="K253" s="13">
        <f>IFERROR(INDEX(Lists!$L$5:$L$20,MATCH(INDEX(Lists!$C$5:$C$34,MATCH(B253,Lists!$A$5:$A$34,0))&amp;"|"&amp;D253,Lists!$I$5:$I$20,0)),"")</f>
        <v>103</v>
      </c>
      <c r="L253" s="19">
        <f t="shared" si="20"/>
        <v>0</v>
      </c>
      <c r="M253" s="15">
        <f t="shared" si="21"/>
        <v>824</v>
      </c>
      <c r="N253" s="20">
        <f t="shared" si="22"/>
        <v>0</v>
      </c>
      <c r="O253" s="10" t="str">
        <f t="shared" si="23"/>
        <v>OK</v>
      </c>
    </row>
    <row r="254" spans="1:15" x14ac:dyDescent="0.25">
      <c r="A254" s="7" t="s">
        <v>662</v>
      </c>
      <c r="B254" s="7" t="s">
        <v>352</v>
      </c>
      <c r="C254" s="9">
        <v>46288</v>
      </c>
      <c r="D254" s="7" t="s">
        <v>50</v>
      </c>
      <c r="E254" s="11">
        <v>8</v>
      </c>
      <c r="F254" s="12">
        <v>93</v>
      </c>
      <c r="G254" s="16">
        <v>744</v>
      </c>
      <c r="H254" s="10" t="str">
        <f t="shared" si="18"/>
        <v>E027|20260923|P103</v>
      </c>
      <c r="I254" s="17">
        <f>SUMIFS(Time_Entries!$J$5:$J$332,Time_Entries!$M$5:$M$332,H254,Time_Entries!$N$5:$N$332,"")</f>
        <v>8</v>
      </c>
      <c r="J254" s="18">
        <f t="shared" si="19"/>
        <v>0</v>
      </c>
      <c r="K254" s="13">
        <f>IFERROR(INDEX(Lists!$L$5:$L$20,MATCH(INDEX(Lists!$C$5:$C$34,MATCH(B254,Lists!$A$5:$A$34,0))&amp;"|"&amp;D254,Lists!$I$5:$I$20,0)),"")</f>
        <v>93</v>
      </c>
      <c r="L254" s="19">
        <f t="shared" si="20"/>
        <v>0</v>
      </c>
      <c r="M254" s="15">
        <f t="shared" si="21"/>
        <v>744</v>
      </c>
      <c r="N254" s="20">
        <f t="shared" si="22"/>
        <v>0</v>
      </c>
      <c r="O254" s="10" t="str">
        <f t="shared" si="23"/>
        <v>OK</v>
      </c>
    </row>
    <row r="255" spans="1:15" x14ac:dyDescent="0.25">
      <c r="A255" s="7" t="s">
        <v>663</v>
      </c>
      <c r="B255" s="7" t="s">
        <v>363</v>
      </c>
      <c r="C255" s="9">
        <v>46288</v>
      </c>
      <c r="D255" s="7" t="s">
        <v>74</v>
      </c>
      <c r="E255" s="11">
        <v>8</v>
      </c>
      <c r="F255" s="12">
        <v>108</v>
      </c>
      <c r="G255" s="16">
        <v>864</v>
      </c>
      <c r="H255" s="10" t="str">
        <f t="shared" si="18"/>
        <v>E028|20260923|P104</v>
      </c>
      <c r="I255" s="17">
        <f>SUMIFS(Time_Entries!$J$5:$J$332,Time_Entries!$M$5:$M$332,H255,Time_Entries!$N$5:$N$332,"")</f>
        <v>8</v>
      </c>
      <c r="J255" s="18">
        <f t="shared" si="19"/>
        <v>0</v>
      </c>
      <c r="K255" s="13">
        <f>IFERROR(INDEX(Lists!$L$5:$L$20,MATCH(INDEX(Lists!$C$5:$C$34,MATCH(B255,Lists!$A$5:$A$34,0))&amp;"|"&amp;D255,Lists!$I$5:$I$20,0)),"")</f>
        <v>108</v>
      </c>
      <c r="L255" s="19">
        <f t="shared" si="20"/>
        <v>0</v>
      </c>
      <c r="M255" s="15">
        <f t="shared" si="21"/>
        <v>864</v>
      </c>
      <c r="N255" s="20">
        <f t="shared" si="22"/>
        <v>0</v>
      </c>
      <c r="O255" s="10" t="str">
        <f t="shared" si="23"/>
        <v>OK</v>
      </c>
    </row>
    <row r="256" spans="1:15" x14ac:dyDescent="0.25">
      <c r="A256" s="7" t="s">
        <v>664</v>
      </c>
      <c r="B256" s="7" t="s">
        <v>375</v>
      </c>
      <c r="C256" s="9">
        <v>46288</v>
      </c>
      <c r="D256" s="7" t="s">
        <v>41</v>
      </c>
      <c r="E256" s="11">
        <v>8</v>
      </c>
      <c r="F256" s="12">
        <v>98</v>
      </c>
      <c r="G256" s="16">
        <v>784</v>
      </c>
      <c r="H256" s="10" t="str">
        <f t="shared" si="18"/>
        <v>E029|20260923|P101</v>
      </c>
      <c r="I256" s="17">
        <f>SUMIFS(Time_Entries!$J$5:$J$332,Time_Entries!$M$5:$M$332,H256,Time_Entries!$N$5:$N$332,"")</f>
        <v>8</v>
      </c>
      <c r="J256" s="18">
        <f t="shared" si="19"/>
        <v>0</v>
      </c>
      <c r="K256" s="13">
        <f>IFERROR(INDEX(Lists!$L$5:$L$20,MATCH(INDEX(Lists!$C$5:$C$34,MATCH(B256,Lists!$A$5:$A$34,0))&amp;"|"&amp;D256,Lists!$I$5:$I$20,0)),"")</f>
        <v>98</v>
      </c>
      <c r="L256" s="19">
        <f t="shared" si="20"/>
        <v>0</v>
      </c>
      <c r="M256" s="15">
        <f t="shared" si="21"/>
        <v>784</v>
      </c>
      <c r="N256" s="20">
        <f t="shared" si="22"/>
        <v>0</v>
      </c>
      <c r="O256" s="10" t="str">
        <f t="shared" si="23"/>
        <v>OK</v>
      </c>
    </row>
    <row r="257" spans="1:15" x14ac:dyDescent="0.25">
      <c r="A257" s="7" t="s">
        <v>665</v>
      </c>
      <c r="B257" s="7" t="s">
        <v>385</v>
      </c>
      <c r="C257" s="9">
        <v>46288</v>
      </c>
      <c r="D257" s="7" t="s">
        <v>46</v>
      </c>
      <c r="E257" s="11">
        <v>8</v>
      </c>
      <c r="F257" s="12">
        <v>103</v>
      </c>
      <c r="G257" s="16">
        <v>824</v>
      </c>
      <c r="H257" s="10" t="str">
        <f t="shared" si="18"/>
        <v>E030|20260923|P102</v>
      </c>
      <c r="I257" s="17">
        <f>SUMIFS(Time_Entries!$J$5:$J$332,Time_Entries!$M$5:$M$332,H257,Time_Entries!$N$5:$N$332,"")</f>
        <v>8</v>
      </c>
      <c r="J257" s="18">
        <f t="shared" si="19"/>
        <v>0</v>
      </c>
      <c r="K257" s="13">
        <f>IFERROR(INDEX(Lists!$L$5:$L$20,MATCH(INDEX(Lists!$C$5:$C$34,MATCH(B257,Lists!$A$5:$A$34,0))&amp;"|"&amp;D257,Lists!$I$5:$I$20,0)),"")</f>
        <v>103</v>
      </c>
      <c r="L257" s="19">
        <f t="shared" si="20"/>
        <v>0</v>
      </c>
      <c r="M257" s="15">
        <f t="shared" si="21"/>
        <v>824</v>
      </c>
      <c r="N257" s="20">
        <f t="shared" si="22"/>
        <v>0</v>
      </c>
      <c r="O257" s="10" t="str">
        <f t="shared" si="23"/>
        <v>OK</v>
      </c>
    </row>
    <row r="258" spans="1:15" x14ac:dyDescent="0.25">
      <c r="A258" s="7" t="s">
        <v>666</v>
      </c>
      <c r="B258" s="7" t="s">
        <v>40</v>
      </c>
      <c r="C258" s="9">
        <v>46289</v>
      </c>
      <c r="D258" s="7" t="s">
        <v>41</v>
      </c>
      <c r="E258" s="11">
        <v>8</v>
      </c>
      <c r="F258" s="12">
        <v>78</v>
      </c>
      <c r="G258" s="16">
        <v>624</v>
      </c>
      <c r="H258" s="10" t="str">
        <f t="shared" si="18"/>
        <v>E001|20260924|P101</v>
      </c>
      <c r="I258" s="17">
        <f>SUMIFS(Time_Entries!$J$5:$J$332,Time_Entries!$M$5:$M$332,H258,Time_Entries!$N$5:$N$332,"")</f>
        <v>8</v>
      </c>
      <c r="J258" s="18">
        <f t="shared" si="19"/>
        <v>0</v>
      </c>
      <c r="K258" s="13">
        <f>IFERROR(INDEX(Lists!$L$5:$L$20,MATCH(INDEX(Lists!$C$5:$C$34,MATCH(B258,Lists!$A$5:$A$34,0))&amp;"|"&amp;D258,Lists!$I$5:$I$20,0)),"")</f>
        <v>78</v>
      </c>
      <c r="L258" s="19">
        <f t="shared" si="20"/>
        <v>0</v>
      </c>
      <c r="M258" s="15">
        <f t="shared" si="21"/>
        <v>624</v>
      </c>
      <c r="N258" s="20">
        <f t="shared" si="22"/>
        <v>0</v>
      </c>
      <c r="O258" s="10" t="str">
        <f t="shared" si="23"/>
        <v>OK</v>
      </c>
    </row>
    <row r="259" spans="1:15" x14ac:dyDescent="0.25">
      <c r="A259" s="7" t="s">
        <v>667</v>
      </c>
      <c r="B259" s="7" t="s">
        <v>58</v>
      </c>
      <c r="C259" s="9">
        <v>46289</v>
      </c>
      <c r="D259" s="7" t="s">
        <v>46</v>
      </c>
      <c r="E259" s="11">
        <v>8</v>
      </c>
      <c r="F259" s="12">
        <v>82</v>
      </c>
      <c r="G259" s="16">
        <v>656</v>
      </c>
      <c r="H259" s="10" t="str">
        <f t="shared" si="18"/>
        <v>E002|20260924|P102</v>
      </c>
      <c r="I259" s="17">
        <f>SUMIFS(Time_Entries!$J$5:$J$332,Time_Entries!$M$5:$M$332,H259,Time_Entries!$N$5:$N$332,"")</f>
        <v>8</v>
      </c>
      <c r="J259" s="18">
        <f t="shared" si="19"/>
        <v>0</v>
      </c>
      <c r="K259" s="13">
        <f>IFERROR(INDEX(Lists!$L$5:$L$20,MATCH(INDEX(Lists!$C$5:$C$34,MATCH(B259,Lists!$A$5:$A$34,0))&amp;"|"&amp;D259,Lists!$I$5:$I$20,0)),"")</f>
        <v>82</v>
      </c>
      <c r="L259" s="19">
        <f t="shared" si="20"/>
        <v>0</v>
      </c>
      <c r="M259" s="15">
        <f t="shared" si="21"/>
        <v>656</v>
      </c>
      <c r="N259" s="20">
        <f t="shared" si="22"/>
        <v>0</v>
      </c>
      <c r="O259" s="10" t="str">
        <f t="shared" si="23"/>
        <v>OK</v>
      </c>
    </row>
    <row r="260" spans="1:15" x14ac:dyDescent="0.25">
      <c r="A260" s="7" t="s">
        <v>668</v>
      </c>
      <c r="B260" s="7" t="s">
        <v>72</v>
      </c>
      <c r="C260" s="9">
        <v>46289</v>
      </c>
      <c r="D260" s="7" t="s">
        <v>50</v>
      </c>
      <c r="E260" s="11">
        <v>8</v>
      </c>
      <c r="F260" s="12">
        <v>74</v>
      </c>
      <c r="G260" s="16">
        <v>592</v>
      </c>
      <c r="H260" s="10" t="str">
        <f t="shared" si="18"/>
        <v>E003|20260924|P103</v>
      </c>
      <c r="I260" s="17">
        <f>SUMIFS(Time_Entries!$J$5:$J$332,Time_Entries!$M$5:$M$332,H260,Time_Entries!$N$5:$N$332,"")</f>
        <v>8</v>
      </c>
      <c r="J260" s="18">
        <f t="shared" si="19"/>
        <v>0</v>
      </c>
      <c r="K260" s="13">
        <f>IFERROR(INDEX(Lists!$L$5:$L$20,MATCH(INDEX(Lists!$C$5:$C$34,MATCH(B260,Lists!$A$5:$A$34,0))&amp;"|"&amp;D260,Lists!$I$5:$I$20,0)),"")</f>
        <v>74</v>
      </c>
      <c r="L260" s="19">
        <f t="shared" si="20"/>
        <v>0</v>
      </c>
      <c r="M260" s="15">
        <f t="shared" si="21"/>
        <v>592</v>
      </c>
      <c r="N260" s="20">
        <f t="shared" si="22"/>
        <v>0</v>
      </c>
      <c r="O260" s="10" t="str">
        <f t="shared" si="23"/>
        <v>OK</v>
      </c>
    </row>
    <row r="261" spans="1:15" x14ac:dyDescent="0.25">
      <c r="A261" s="7" t="s">
        <v>669</v>
      </c>
      <c r="B261" s="7" t="s">
        <v>87</v>
      </c>
      <c r="C261" s="9">
        <v>46289</v>
      </c>
      <c r="D261" s="7" t="s">
        <v>74</v>
      </c>
      <c r="E261" s="11">
        <v>8</v>
      </c>
      <c r="F261" s="12">
        <v>86</v>
      </c>
      <c r="G261" s="16">
        <v>688</v>
      </c>
      <c r="H261" s="10" t="str">
        <f t="shared" ref="H261:H319" si="24">B261&amp;"|"&amp;TEXT(C261,"yyyymmdd")&amp;"|"&amp;D261</f>
        <v>E004|20260924|P104</v>
      </c>
      <c r="I261" s="17">
        <f>SUMIFS(Time_Entries!$J$5:$J$332,Time_Entries!$M$5:$M$332,H261,Time_Entries!$N$5:$N$332,"")</f>
        <v>8</v>
      </c>
      <c r="J261" s="18">
        <f t="shared" ref="J261:J319" si="25">E261-I261</f>
        <v>0</v>
      </c>
      <c r="K261" s="13">
        <f>IFERROR(INDEX(Lists!$L$5:$L$20,MATCH(INDEX(Lists!$C$5:$C$34,MATCH(B261,Lists!$A$5:$A$34,0))&amp;"|"&amp;D261,Lists!$I$5:$I$20,0)),"")</f>
        <v>86</v>
      </c>
      <c r="L261" s="19">
        <f t="shared" ref="L261:L319" si="26">IF(K261="","",F261-K261)</f>
        <v>0</v>
      </c>
      <c r="M261" s="15">
        <f t="shared" ref="M261:M319" si="27">IF(K261="",0,I261*K261)</f>
        <v>688</v>
      </c>
      <c r="N261" s="20">
        <f t="shared" ref="N261:N319" si="28">G261-M261</f>
        <v>0</v>
      </c>
      <c r="O261" s="10" t="str">
        <f t="shared" ref="O261:O319" si="29">IF(I261=0,"NO TIME ENTRY",IF(ABS(J261)&gt;0.001,"HOURS",IF(AND(K261&lt;&gt;"",ABS(L261)&gt;0.001),"RATE","OK")))</f>
        <v>OK</v>
      </c>
    </row>
    <row r="262" spans="1:15" x14ac:dyDescent="0.25">
      <c r="A262" s="7" t="s">
        <v>670</v>
      </c>
      <c r="B262" s="7" t="s">
        <v>99</v>
      </c>
      <c r="C262" s="9">
        <v>46289</v>
      </c>
      <c r="D262" s="7" t="s">
        <v>41</v>
      </c>
      <c r="E262" s="11">
        <v>8</v>
      </c>
      <c r="F262" s="12">
        <v>78</v>
      </c>
      <c r="G262" s="16">
        <v>624</v>
      </c>
      <c r="H262" s="10" t="str">
        <f t="shared" si="24"/>
        <v>E005|20260924|P101</v>
      </c>
      <c r="I262" s="17">
        <f>SUMIFS(Time_Entries!$J$5:$J$332,Time_Entries!$M$5:$M$332,H262,Time_Entries!$N$5:$N$332,"")</f>
        <v>8</v>
      </c>
      <c r="J262" s="18">
        <f t="shared" si="25"/>
        <v>0</v>
      </c>
      <c r="K262" s="13">
        <f>IFERROR(INDEX(Lists!$L$5:$L$20,MATCH(INDEX(Lists!$C$5:$C$34,MATCH(B262,Lists!$A$5:$A$34,0))&amp;"|"&amp;D262,Lists!$I$5:$I$20,0)),"")</f>
        <v>78</v>
      </c>
      <c r="L262" s="19">
        <f t="shared" si="26"/>
        <v>0</v>
      </c>
      <c r="M262" s="15">
        <f t="shared" si="27"/>
        <v>624</v>
      </c>
      <c r="N262" s="20">
        <f t="shared" si="28"/>
        <v>0</v>
      </c>
      <c r="O262" s="10" t="str">
        <f t="shared" si="29"/>
        <v>OK</v>
      </c>
    </row>
    <row r="263" spans="1:15" x14ac:dyDescent="0.25">
      <c r="A263" s="7" t="s">
        <v>671</v>
      </c>
      <c r="B263" s="7" t="s">
        <v>110</v>
      </c>
      <c r="C263" s="9">
        <v>46289</v>
      </c>
      <c r="D263" s="7" t="s">
        <v>46</v>
      </c>
      <c r="E263" s="11">
        <v>8</v>
      </c>
      <c r="F263" s="12">
        <v>82</v>
      </c>
      <c r="G263" s="16">
        <v>656</v>
      </c>
      <c r="H263" s="10" t="str">
        <f t="shared" si="24"/>
        <v>E006|20260924|P102</v>
      </c>
      <c r="I263" s="17">
        <f>SUMIFS(Time_Entries!$J$5:$J$332,Time_Entries!$M$5:$M$332,H263,Time_Entries!$N$5:$N$332,"")</f>
        <v>8</v>
      </c>
      <c r="J263" s="18">
        <f t="shared" si="25"/>
        <v>0</v>
      </c>
      <c r="K263" s="13">
        <f>IFERROR(INDEX(Lists!$L$5:$L$20,MATCH(INDEX(Lists!$C$5:$C$34,MATCH(B263,Lists!$A$5:$A$34,0))&amp;"|"&amp;D263,Lists!$I$5:$I$20,0)),"")</f>
        <v>82</v>
      </c>
      <c r="L263" s="19">
        <f t="shared" si="26"/>
        <v>0</v>
      </c>
      <c r="M263" s="15">
        <f t="shared" si="27"/>
        <v>656</v>
      </c>
      <c r="N263" s="20">
        <f t="shared" si="28"/>
        <v>0</v>
      </c>
      <c r="O263" s="10" t="str">
        <f t="shared" si="29"/>
        <v>OK</v>
      </c>
    </row>
    <row r="264" spans="1:15" x14ac:dyDescent="0.25">
      <c r="A264" s="7" t="s">
        <v>672</v>
      </c>
      <c r="B264" s="7" t="s">
        <v>124</v>
      </c>
      <c r="C264" s="9">
        <v>46289</v>
      </c>
      <c r="D264" s="7" t="s">
        <v>50</v>
      </c>
      <c r="E264" s="11">
        <v>8</v>
      </c>
      <c r="F264" s="12">
        <v>74</v>
      </c>
      <c r="G264" s="16">
        <v>592</v>
      </c>
      <c r="H264" s="10" t="str">
        <f t="shared" si="24"/>
        <v>E007|20260924|P103</v>
      </c>
      <c r="I264" s="17">
        <f>SUMIFS(Time_Entries!$J$5:$J$332,Time_Entries!$M$5:$M$332,H264,Time_Entries!$N$5:$N$332,"")</f>
        <v>8</v>
      </c>
      <c r="J264" s="18">
        <f t="shared" si="25"/>
        <v>0</v>
      </c>
      <c r="K264" s="13">
        <f>IFERROR(INDEX(Lists!$L$5:$L$20,MATCH(INDEX(Lists!$C$5:$C$34,MATCH(B264,Lists!$A$5:$A$34,0))&amp;"|"&amp;D264,Lists!$I$5:$I$20,0)),"")</f>
        <v>74</v>
      </c>
      <c r="L264" s="19">
        <f t="shared" si="26"/>
        <v>0</v>
      </c>
      <c r="M264" s="15">
        <f t="shared" si="27"/>
        <v>592</v>
      </c>
      <c r="N264" s="20">
        <f t="shared" si="28"/>
        <v>0</v>
      </c>
      <c r="O264" s="10" t="str">
        <f t="shared" si="29"/>
        <v>OK</v>
      </c>
    </row>
    <row r="265" spans="1:15" x14ac:dyDescent="0.25">
      <c r="A265" s="7" t="s">
        <v>673</v>
      </c>
      <c r="B265" s="7" t="s">
        <v>136</v>
      </c>
      <c r="C265" s="9">
        <v>46289</v>
      </c>
      <c r="D265" s="7" t="s">
        <v>74</v>
      </c>
      <c r="E265" s="11">
        <v>8</v>
      </c>
      <c r="F265" s="12">
        <v>86</v>
      </c>
      <c r="G265" s="16">
        <v>688</v>
      </c>
      <c r="H265" s="10" t="str">
        <f t="shared" si="24"/>
        <v>E008|20260924|P104</v>
      </c>
      <c r="I265" s="17">
        <f>SUMIFS(Time_Entries!$J$5:$J$332,Time_Entries!$M$5:$M$332,H265,Time_Entries!$N$5:$N$332,"")</f>
        <v>8</v>
      </c>
      <c r="J265" s="18">
        <f t="shared" si="25"/>
        <v>0</v>
      </c>
      <c r="K265" s="13">
        <f>IFERROR(INDEX(Lists!$L$5:$L$20,MATCH(INDEX(Lists!$C$5:$C$34,MATCH(B265,Lists!$A$5:$A$34,0))&amp;"|"&amp;D265,Lists!$I$5:$I$20,0)),"")</f>
        <v>86</v>
      </c>
      <c r="L265" s="19">
        <f t="shared" si="26"/>
        <v>0</v>
      </c>
      <c r="M265" s="15">
        <f t="shared" si="27"/>
        <v>688</v>
      </c>
      <c r="N265" s="20">
        <f t="shared" si="28"/>
        <v>0</v>
      </c>
      <c r="O265" s="10" t="str">
        <f t="shared" si="29"/>
        <v>OK</v>
      </c>
    </row>
    <row r="266" spans="1:15" x14ac:dyDescent="0.25">
      <c r="A266" s="7" t="s">
        <v>674</v>
      </c>
      <c r="B266" s="7" t="s">
        <v>147</v>
      </c>
      <c r="C266" s="9">
        <v>46289</v>
      </c>
      <c r="D266" s="7" t="s">
        <v>41</v>
      </c>
      <c r="E266" s="11">
        <v>4</v>
      </c>
      <c r="F266" s="12">
        <v>78</v>
      </c>
      <c r="G266" s="16">
        <v>312</v>
      </c>
      <c r="H266" s="10" t="str">
        <f t="shared" si="24"/>
        <v>E009|20260924|P101</v>
      </c>
      <c r="I266" s="17">
        <f>SUMIFS(Time_Entries!$J$5:$J$332,Time_Entries!$M$5:$M$332,H266,Time_Entries!$N$5:$N$332,"")</f>
        <v>4</v>
      </c>
      <c r="J266" s="18">
        <f t="shared" si="25"/>
        <v>0</v>
      </c>
      <c r="K266" s="13">
        <f>IFERROR(INDEX(Lists!$L$5:$L$20,MATCH(INDEX(Lists!$C$5:$C$34,MATCH(B266,Lists!$A$5:$A$34,0))&amp;"|"&amp;D266,Lists!$I$5:$I$20,0)),"")</f>
        <v>78</v>
      </c>
      <c r="L266" s="19">
        <f t="shared" si="26"/>
        <v>0</v>
      </c>
      <c r="M266" s="15">
        <f t="shared" si="27"/>
        <v>312</v>
      </c>
      <c r="N266" s="20">
        <f t="shared" si="28"/>
        <v>0</v>
      </c>
      <c r="O266" s="10" t="str">
        <f t="shared" si="29"/>
        <v>OK</v>
      </c>
    </row>
    <row r="267" spans="1:15" x14ac:dyDescent="0.25">
      <c r="A267" s="7" t="s">
        <v>675</v>
      </c>
      <c r="B267" s="7" t="s">
        <v>147</v>
      </c>
      <c r="C267" s="9">
        <v>46289</v>
      </c>
      <c r="D267" s="7" t="s">
        <v>50</v>
      </c>
      <c r="E267" s="11">
        <v>4</v>
      </c>
      <c r="F267" s="12">
        <v>74</v>
      </c>
      <c r="G267" s="16">
        <v>296</v>
      </c>
      <c r="H267" s="10" t="str">
        <f t="shared" si="24"/>
        <v>E009|20260924|P103</v>
      </c>
      <c r="I267" s="17">
        <f>SUMIFS(Time_Entries!$J$5:$J$332,Time_Entries!$M$5:$M$332,H267,Time_Entries!$N$5:$N$332,"")</f>
        <v>4</v>
      </c>
      <c r="J267" s="18">
        <f t="shared" si="25"/>
        <v>0</v>
      </c>
      <c r="K267" s="13">
        <f>IFERROR(INDEX(Lists!$L$5:$L$20,MATCH(INDEX(Lists!$C$5:$C$34,MATCH(B267,Lists!$A$5:$A$34,0))&amp;"|"&amp;D267,Lists!$I$5:$I$20,0)),"")</f>
        <v>74</v>
      </c>
      <c r="L267" s="19">
        <f t="shared" si="26"/>
        <v>0</v>
      </c>
      <c r="M267" s="15">
        <f t="shared" si="27"/>
        <v>296</v>
      </c>
      <c r="N267" s="20">
        <f t="shared" si="28"/>
        <v>0</v>
      </c>
      <c r="O267" s="10" t="str">
        <f t="shared" si="29"/>
        <v>OK</v>
      </c>
    </row>
    <row r="268" spans="1:15" x14ac:dyDescent="0.25">
      <c r="A268" s="7" t="s">
        <v>676</v>
      </c>
      <c r="B268" s="7" t="s">
        <v>158</v>
      </c>
      <c r="C268" s="9">
        <v>46289</v>
      </c>
      <c r="D268" s="7" t="s">
        <v>46</v>
      </c>
      <c r="E268" s="11">
        <v>8</v>
      </c>
      <c r="F268" s="12">
        <v>110</v>
      </c>
      <c r="G268" s="16">
        <v>880</v>
      </c>
      <c r="H268" s="10" t="str">
        <f t="shared" si="24"/>
        <v>E010|20260924|P102</v>
      </c>
      <c r="I268" s="17">
        <f>SUMIFS(Time_Entries!$J$5:$J$332,Time_Entries!$M$5:$M$332,H268,Time_Entries!$N$5:$N$332,"")</f>
        <v>8</v>
      </c>
      <c r="J268" s="18">
        <f t="shared" si="25"/>
        <v>0</v>
      </c>
      <c r="K268" s="13">
        <f>IFERROR(INDEX(Lists!$L$5:$L$20,MATCH(INDEX(Lists!$C$5:$C$34,MATCH(B268,Lists!$A$5:$A$34,0))&amp;"|"&amp;D268,Lists!$I$5:$I$20,0)),"")</f>
        <v>110</v>
      </c>
      <c r="L268" s="19">
        <f t="shared" si="26"/>
        <v>0</v>
      </c>
      <c r="M268" s="15">
        <f t="shared" si="27"/>
        <v>880</v>
      </c>
      <c r="N268" s="20">
        <f t="shared" si="28"/>
        <v>0</v>
      </c>
      <c r="O268" s="10" t="str">
        <f t="shared" si="29"/>
        <v>OK</v>
      </c>
    </row>
    <row r="269" spans="1:15" x14ac:dyDescent="0.25">
      <c r="A269" s="7" t="s">
        <v>677</v>
      </c>
      <c r="B269" s="7" t="s">
        <v>170</v>
      </c>
      <c r="C269" s="9">
        <v>46289</v>
      </c>
      <c r="D269" s="7" t="s">
        <v>50</v>
      </c>
      <c r="E269" s="11">
        <v>8</v>
      </c>
      <c r="F269" s="12">
        <v>100</v>
      </c>
      <c r="G269" s="16">
        <v>800</v>
      </c>
      <c r="H269" s="10" t="str">
        <f t="shared" si="24"/>
        <v>E011|20260924|P103</v>
      </c>
      <c r="I269" s="17">
        <f>SUMIFS(Time_Entries!$J$5:$J$332,Time_Entries!$M$5:$M$332,H269,Time_Entries!$N$5:$N$332,"")</f>
        <v>8</v>
      </c>
      <c r="J269" s="18">
        <f t="shared" si="25"/>
        <v>0</v>
      </c>
      <c r="K269" s="13">
        <f>IFERROR(INDEX(Lists!$L$5:$L$20,MATCH(INDEX(Lists!$C$5:$C$34,MATCH(B269,Lists!$A$5:$A$34,0))&amp;"|"&amp;D269,Lists!$I$5:$I$20,0)),"")</f>
        <v>100</v>
      </c>
      <c r="L269" s="19">
        <f t="shared" si="26"/>
        <v>0</v>
      </c>
      <c r="M269" s="15">
        <f t="shared" si="27"/>
        <v>800</v>
      </c>
      <c r="N269" s="20">
        <f t="shared" si="28"/>
        <v>0</v>
      </c>
      <c r="O269" s="10" t="str">
        <f t="shared" si="29"/>
        <v>OK</v>
      </c>
    </row>
    <row r="270" spans="1:15" x14ac:dyDescent="0.25">
      <c r="A270" s="7" t="s">
        <v>678</v>
      </c>
      <c r="B270" s="7" t="s">
        <v>180</v>
      </c>
      <c r="C270" s="9">
        <v>46289</v>
      </c>
      <c r="D270" s="7" t="s">
        <v>74</v>
      </c>
      <c r="E270" s="11">
        <v>8</v>
      </c>
      <c r="F270" s="12">
        <v>116</v>
      </c>
      <c r="G270" s="16">
        <v>928</v>
      </c>
      <c r="H270" s="10" t="str">
        <f t="shared" si="24"/>
        <v>E012|20260924|P104</v>
      </c>
      <c r="I270" s="17">
        <f>SUMIFS(Time_Entries!$J$5:$J$332,Time_Entries!$M$5:$M$332,H270,Time_Entries!$N$5:$N$332,"")</f>
        <v>8</v>
      </c>
      <c r="J270" s="18">
        <f t="shared" si="25"/>
        <v>0</v>
      </c>
      <c r="K270" s="13">
        <f>IFERROR(INDEX(Lists!$L$5:$L$20,MATCH(INDEX(Lists!$C$5:$C$34,MATCH(B270,Lists!$A$5:$A$34,0))&amp;"|"&amp;D270,Lists!$I$5:$I$20,0)),"")</f>
        <v>116</v>
      </c>
      <c r="L270" s="19">
        <f t="shared" si="26"/>
        <v>0</v>
      </c>
      <c r="M270" s="15">
        <f t="shared" si="27"/>
        <v>928</v>
      </c>
      <c r="N270" s="20">
        <f t="shared" si="28"/>
        <v>0</v>
      </c>
      <c r="O270" s="10" t="str">
        <f t="shared" si="29"/>
        <v>OK</v>
      </c>
    </row>
    <row r="271" spans="1:15" x14ac:dyDescent="0.25">
      <c r="A271" s="7" t="s">
        <v>679</v>
      </c>
      <c r="B271" s="7" t="s">
        <v>194</v>
      </c>
      <c r="C271" s="9">
        <v>46289</v>
      </c>
      <c r="D271" s="7" t="s">
        <v>41</v>
      </c>
      <c r="E271" s="11">
        <v>8</v>
      </c>
      <c r="F271" s="12">
        <v>105</v>
      </c>
      <c r="G271" s="16">
        <v>840</v>
      </c>
      <c r="H271" s="10" t="str">
        <f t="shared" si="24"/>
        <v>E013|20260924|P101</v>
      </c>
      <c r="I271" s="17">
        <f>SUMIFS(Time_Entries!$J$5:$J$332,Time_Entries!$M$5:$M$332,H271,Time_Entries!$N$5:$N$332,"")</f>
        <v>8</v>
      </c>
      <c r="J271" s="18">
        <f t="shared" si="25"/>
        <v>0</v>
      </c>
      <c r="K271" s="13">
        <f>IFERROR(INDEX(Lists!$L$5:$L$20,MATCH(INDEX(Lists!$C$5:$C$34,MATCH(B271,Lists!$A$5:$A$34,0))&amp;"|"&amp;D271,Lists!$I$5:$I$20,0)),"")</f>
        <v>105</v>
      </c>
      <c r="L271" s="19">
        <f t="shared" si="26"/>
        <v>0</v>
      </c>
      <c r="M271" s="15">
        <f t="shared" si="27"/>
        <v>840</v>
      </c>
      <c r="N271" s="20">
        <f t="shared" si="28"/>
        <v>0</v>
      </c>
      <c r="O271" s="10" t="str">
        <f t="shared" si="29"/>
        <v>OK</v>
      </c>
    </row>
    <row r="272" spans="1:15" x14ac:dyDescent="0.25">
      <c r="A272" s="7" t="s">
        <v>680</v>
      </c>
      <c r="B272" s="7" t="s">
        <v>206</v>
      </c>
      <c r="C272" s="9">
        <v>46289</v>
      </c>
      <c r="D272" s="7" t="s">
        <v>46</v>
      </c>
      <c r="E272" s="11">
        <v>8</v>
      </c>
      <c r="F272" s="12">
        <v>110</v>
      </c>
      <c r="G272" s="16">
        <v>880</v>
      </c>
      <c r="H272" s="10" t="str">
        <f t="shared" si="24"/>
        <v>E014|20260924|P102</v>
      </c>
      <c r="I272" s="17">
        <f>SUMIFS(Time_Entries!$J$5:$J$332,Time_Entries!$M$5:$M$332,H272,Time_Entries!$N$5:$N$332,"")</f>
        <v>8</v>
      </c>
      <c r="J272" s="18">
        <f t="shared" si="25"/>
        <v>0</v>
      </c>
      <c r="K272" s="13">
        <f>IFERROR(INDEX(Lists!$L$5:$L$20,MATCH(INDEX(Lists!$C$5:$C$34,MATCH(B272,Lists!$A$5:$A$34,0))&amp;"|"&amp;D272,Lists!$I$5:$I$20,0)),"")</f>
        <v>110</v>
      </c>
      <c r="L272" s="19">
        <f t="shared" si="26"/>
        <v>0</v>
      </c>
      <c r="M272" s="15">
        <f t="shared" si="27"/>
        <v>880</v>
      </c>
      <c r="N272" s="20">
        <f t="shared" si="28"/>
        <v>0</v>
      </c>
      <c r="O272" s="10" t="str">
        <f t="shared" si="29"/>
        <v>OK</v>
      </c>
    </row>
    <row r="273" spans="1:15" x14ac:dyDescent="0.25">
      <c r="A273" s="7" t="s">
        <v>681</v>
      </c>
      <c r="B273" s="7" t="s">
        <v>217</v>
      </c>
      <c r="C273" s="9">
        <v>46289</v>
      </c>
      <c r="D273" s="7" t="s">
        <v>50</v>
      </c>
      <c r="E273" s="11">
        <v>8</v>
      </c>
      <c r="F273" s="12">
        <v>100</v>
      </c>
      <c r="G273" s="16">
        <v>800</v>
      </c>
      <c r="H273" s="10" t="str">
        <f t="shared" si="24"/>
        <v>E015|20260924|P103</v>
      </c>
      <c r="I273" s="17">
        <f>SUMIFS(Time_Entries!$J$5:$J$332,Time_Entries!$M$5:$M$332,H273,Time_Entries!$N$5:$N$332,"")</f>
        <v>8</v>
      </c>
      <c r="J273" s="18">
        <f t="shared" si="25"/>
        <v>0</v>
      </c>
      <c r="K273" s="13">
        <f>IFERROR(INDEX(Lists!$L$5:$L$20,MATCH(INDEX(Lists!$C$5:$C$34,MATCH(B273,Lists!$A$5:$A$34,0))&amp;"|"&amp;D273,Lists!$I$5:$I$20,0)),"")</f>
        <v>100</v>
      </c>
      <c r="L273" s="19">
        <f t="shared" si="26"/>
        <v>0</v>
      </c>
      <c r="M273" s="15">
        <f t="shared" si="27"/>
        <v>800</v>
      </c>
      <c r="N273" s="20">
        <f t="shared" si="28"/>
        <v>0</v>
      </c>
      <c r="O273" s="10" t="str">
        <f t="shared" si="29"/>
        <v>OK</v>
      </c>
    </row>
    <row r="274" spans="1:15" x14ac:dyDescent="0.25">
      <c r="A274" s="7" t="s">
        <v>682</v>
      </c>
      <c r="B274" s="7" t="s">
        <v>229</v>
      </c>
      <c r="C274" s="9">
        <v>46289</v>
      </c>
      <c r="D274" s="7" t="s">
        <v>74</v>
      </c>
      <c r="E274" s="11">
        <v>8</v>
      </c>
      <c r="F274" s="12">
        <v>130</v>
      </c>
      <c r="G274" s="16">
        <v>1040</v>
      </c>
      <c r="H274" s="10" t="str">
        <f t="shared" si="24"/>
        <v>E016|20260924|P104</v>
      </c>
      <c r="I274" s="17">
        <f>SUMIFS(Time_Entries!$J$5:$J$332,Time_Entries!$M$5:$M$332,H274,Time_Entries!$N$5:$N$332,"")</f>
        <v>8</v>
      </c>
      <c r="J274" s="18">
        <f t="shared" si="25"/>
        <v>0</v>
      </c>
      <c r="K274" s="13">
        <f>IFERROR(INDEX(Lists!$L$5:$L$20,MATCH(INDEX(Lists!$C$5:$C$34,MATCH(B274,Lists!$A$5:$A$34,0))&amp;"|"&amp;D274,Lists!$I$5:$I$20,0)),"")</f>
        <v>130</v>
      </c>
      <c r="L274" s="19">
        <f t="shared" si="26"/>
        <v>0</v>
      </c>
      <c r="M274" s="15">
        <f t="shared" si="27"/>
        <v>1040</v>
      </c>
      <c r="N274" s="20">
        <f t="shared" si="28"/>
        <v>0</v>
      </c>
      <c r="O274" s="10" t="str">
        <f t="shared" si="29"/>
        <v>OK</v>
      </c>
    </row>
    <row r="275" spans="1:15" x14ac:dyDescent="0.25">
      <c r="A275" s="7" t="s">
        <v>683</v>
      </c>
      <c r="B275" s="7" t="s">
        <v>240</v>
      </c>
      <c r="C275" s="9">
        <v>46289</v>
      </c>
      <c r="D275" s="7" t="s">
        <v>41</v>
      </c>
      <c r="E275" s="11">
        <v>8</v>
      </c>
      <c r="F275" s="12">
        <v>118</v>
      </c>
      <c r="G275" s="16">
        <v>944</v>
      </c>
      <c r="H275" s="10" t="str">
        <f t="shared" si="24"/>
        <v>E017|20260924|P101</v>
      </c>
      <c r="I275" s="17">
        <f>SUMIFS(Time_Entries!$J$5:$J$332,Time_Entries!$M$5:$M$332,H275,Time_Entries!$N$5:$N$332,"")</f>
        <v>8</v>
      </c>
      <c r="J275" s="18">
        <f t="shared" si="25"/>
        <v>0</v>
      </c>
      <c r="K275" s="13">
        <f>IFERROR(INDEX(Lists!$L$5:$L$20,MATCH(INDEX(Lists!$C$5:$C$34,MATCH(B275,Lists!$A$5:$A$34,0))&amp;"|"&amp;D275,Lists!$I$5:$I$20,0)),"")</f>
        <v>118</v>
      </c>
      <c r="L275" s="19">
        <f t="shared" si="26"/>
        <v>0</v>
      </c>
      <c r="M275" s="15">
        <f t="shared" si="27"/>
        <v>944</v>
      </c>
      <c r="N275" s="20">
        <f t="shared" si="28"/>
        <v>0</v>
      </c>
      <c r="O275" s="10" t="str">
        <f t="shared" si="29"/>
        <v>OK</v>
      </c>
    </row>
    <row r="276" spans="1:15" x14ac:dyDescent="0.25">
      <c r="A276" s="7" t="s">
        <v>684</v>
      </c>
      <c r="B276" s="7" t="s">
        <v>250</v>
      </c>
      <c r="C276" s="9">
        <v>46289</v>
      </c>
      <c r="D276" s="7" t="s">
        <v>46</v>
      </c>
      <c r="E276" s="11">
        <v>8</v>
      </c>
      <c r="F276" s="12">
        <v>124</v>
      </c>
      <c r="G276" s="16">
        <v>992</v>
      </c>
      <c r="H276" s="10" t="str">
        <f t="shared" si="24"/>
        <v>E018|20260924|P102</v>
      </c>
      <c r="I276" s="17">
        <f>SUMIFS(Time_Entries!$J$5:$J$332,Time_Entries!$M$5:$M$332,H276,Time_Entries!$N$5:$N$332,"")</f>
        <v>8</v>
      </c>
      <c r="J276" s="18">
        <f t="shared" si="25"/>
        <v>0</v>
      </c>
      <c r="K276" s="13">
        <f>IFERROR(INDEX(Lists!$L$5:$L$20,MATCH(INDEX(Lists!$C$5:$C$34,MATCH(B276,Lists!$A$5:$A$34,0))&amp;"|"&amp;D276,Lists!$I$5:$I$20,0)),"")</f>
        <v>124</v>
      </c>
      <c r="L276" s="19">
        <f t="shared" si="26"/>
        <v>0</v>
      </c>
      <c r="M276" s="15">
        <f t="shared" si="27"/>
        <v>992</v>
      </c>
      <c r="N276" s="20">
        <f t="shared" si="28"/>
        <v>0</v>
      </c>
      <c r="O276" s="10" t="str">
        <f t="shared" si="29"/>
        <v>OK</v>
      </c>
    </row>
    <row r="277" spans="1:15" x14ac:dyDescent="0.25">
      <c r="A277" s="7" t="s">
        <v>685</v>
      </c>
      <c r="B277" s="7" t="s">
        <v>262</v>
      </c>
      <c r="C277" s="9">
        <v>46289</v>
      </c>
      <c r="D277" s="7" t="s">
        <v>50</v>
      </c>
      <c r="E277" s="11">
        <v>8</v>
      </c>
      <c r="F277" s="12">
        <v>112</v>
      </c>
      <c r="G277" s="16">
        <v>896</v>
      </c>
      <c r="H277" s="10" t="str">
        <f t="shared" si="24"/>
        <v>E019|20260924|P103</v>
      </c>
      <c r="I277" s="17">
        <f>SUMIFS(Time_Entries!$J$5:$J$332,Time_Entries!$M$5:$M$332,H277,Time_Entries!$N$5:$N$332,"")</f>
        <v>8</v>
      </c>
      <c r="J277" s="18">
        <f t="shared" si="25"/>
        <v>0</v>
      </c>
      <c r="K277" s="13">
        <f>IFERROR(INDEX(Lists!$L$5:$L$20,MATCH(INDEX(Lists!$C$5:$C$34,MATCH(B277,Lists!$A$5:$A$34,0))&amp;"|"&amp;D277,Lists!$I$5:$I$20,0)),"")</f>
        <v>112</v>
      </c>
      <c r="L277" s="19">
        <f t="shared" si="26"/>
        <v>0</v>
      </c>
      <c r="M277" s="15">
        <f t="shared" si="27"/>
        <v>896</v>
      </c>
      <c r="N277" s="20">
        <f t="shared" si="28"/>
        <v>0</v>
      </c>
      <c r="O277" s="10" t="str">
        <f t="shared" si="29"/>
        <v>OK</v>
      </c>
    </row>
    <row r="278" spans="1:15" x14ac:dyDescent="0.25">
      <c r="A278" s="7" t="s">
        <v>686</v>
      </c>
      <c r="B278" s="7" t="s">
        <v>273</v>
      </c>
      <c r="C278" s="9">
        <v>46289</v>
      </c>
      <c r="D278" s="7" t="s">
        <v>74</v>
      </c>
      <c r="E278" s="11">
        <v>8</v>
      </c>
      <c r="F278" s="12">
        <v>130</v>
      </c>
      <c r="G278" s="16">
        <v>1040</v>
      </c>
      <c r="H278" s="10" t="str">
        <f t="shared" si="24"/>
        <v>E020|20260924|P104</v>
      </c>
      <c r="I278" s="17">
        <f>SUMIFS(Time_Entries!$J$5:$J$332,Time_Entries!$M$5:$M$332,H278,Time_Entries!$N$5:$N$332,"")</f>
        <v>8</v>
      </c>
      <c r="J278" s="18">
        <f t="shared" si="25"/>
        <v>0</v>
      </c>
      <c r="K278" s="13">
        <f>IFERROR(INDEX(Lists!$L$5:$L$20,MATCH(INDEX(Lists!$C$5:$C$34,MATCH(B278,Lists!$A$5:$A$34,0))&amp;"|"&amp;D278,Lists!$I$5:$I$20,0)),"")</f>
        <v>130</v>
      </c>
      <c r="L278" s="19">
        <f t="shared" si="26"/>
        <v>0</v>
      </c>
      <c r="M278" s="15">
        <f t="shared" si="27"/>
        <v>1040</v>
      </c>
      <c r="N278" s="20">
        <f t="shared" si="28"/>
        <v>0</v>
      </c>
      <c r="O278" s="10" t="str">
        <f t="shared" si="29"/>
        <v>OK</v>
      </c>
    </row>
    <row r="279" spans="1:15" x14ac:dyDescent="0.25">
      <c r="A279" s="7" t="s">
        <v>687</v>
      </c>
      <c r="B279" s="7" t="s">
        <v>284</v>
      </c>
      <c r="C279" s="9">
        <v>46289</v>
      </c>
      <c r="D279" s="7" t="s">
        <v>41</v>
      </c>
      <c r="E279" s="11">
        <v>8</v>
      </c>
      <c r="F279" s="12">
        <v>118</v>
      </c>
      <c r="G279" s="16">
        <v>944</v>
      </c>
      <c r="H279" s="10" t="str">
        <f t="shared" si="24"/>
        <v>E021|20260924|P101</v>
      </c>
      <c r="I279" s="17">
        <f>SUMIFS(Time_Entries!$J$5:$J$332,Time_Entries!$M$5:$M$332,H279,Time_Entries!$N$5:$N$332,"")</f>
        <v>8</v>
      </c>
      <c r="J279" s="18">
        <f t="shared" si="25"/>
        <v>0</v>
      </c>
      <c r="K279" s="13">
        <f>IFERROR(INDEX(Lists!$L$5:$L$20,MATCH(INDEX(Lists!$C$5:$C$34,MATCH(B279,Lists!$A$5:$A$34,0))&amp;"|"&amp;D279,Lists!$I$5:$I$20,0)),"")</f>
        <v>118</v>
      </c>
      <c r="L279" s="19">
        <f t="shared" si="26"/>
        <v>0</v>
      </c>
      <c r="M279" s="15">
        <f t="shared" si="27"/>
        <v>944</v>
      </c>
      <c r="N279" s="20">
        <f t="shared" si="28"/>
        <v>0</v>
      </c>
      <c r="O279" s="10" t="str">
        <f t="shared" si="29"/>
        <v>OK</v>
      </c>
    </row>
    <row r="280" spans="1:15" x14ac:dyDescent="0.25">
      <c r="A280" s="7" t="s">
        <v>688</v>
      </c>
      <c r="B280" s="7" t="s">
        <v>295</v>
      </c>
      <c r="C280" s="9">
        <v>46289</v>
      </c>
      <c r="D280" s="7" t="s">
        <v>46</v>
      </c>
      <c r="E280" s="11">
        <v>8</v>
      </c>
      <c r="F280" s="12">
        <v>124</v>
      </c>
      <c r="G280" s="16">
        <v>992</v>
      </c>
      <c r="H280" s="10" t="str">
        <f t="shared" si="24"/>
        <v>E022|20260924|P102</v>
      </c>
      <c r="I280" s="17">
        <f>SUMIFS(Time_Entries!$J$5:$J$332,Time_Entries!$M$5:$M$332,H280,Time_Entries!$N$5:$N$332,"")</f>
        <v>8</v>
      </c>
      <c r="J280" s="18">
        <f t="shared" si="25"/>
        <v>0</v>
      </c>
      <c r="K280" s="13">
        <f>IFERROR(INDEX(Lists!$L$5:$L$20,MATCH(INDEX(Lists!$C$5:$C$34,MATCH(B280,Lists!$A$5:$A$34,0))&amp;"|"&amp;D280,Lists!$I$5:$I$20,0)),"")</f>
        <v>124</v>
      </c>
      <c r="L280" s="19">
        <f t="shared" si="26"/>
        <v>0</v>
      </c>
      <c r="M280" s="15">
        <f t="shared" si="27"/>
        <v>992</v>
      </c>
      <c r="N280" s="20">
        <f t="shared" si="28"/>
        <v>0</v>
      </c>
      <c r="O280" s="10" t="str">
        <f t="shared" si="29"/>
        <v>OK</v>
      </c>
    </row>
    <row r="281" spans="1:15" x14ac:dyDescent="0.25">
      <c r="A281" s="7" t="s">
        <v>689</v>
      </c>
      <c r="B281" s="7" t="s">
        <v>317</v>
      </c>
      <c r="C281" s="9">
        <v>46289</v>
      </c>
      <c r="D281" s="7" t="s">
        <v>74</v>
      </c>
      <c r="E281" s="11">
        <v>4</v>
      </c>
      <c r="F281" s="12">
        <v>130</v>
      </c>
      <c r="G281" s="16">
        <v>520</v>
      </c>
      <c r="H281" s="10" t="str">
        <f t="shared" si="24"/>
        <v>E024|20260924|P104</v>
      </c>
      <c r="I281" s="17">
        <f>SUMIFS(Time_Entries!$J$5:$J$332,Time_Entries!$M$5:$M$332,H281,Time_Entries!$N$5:$N$332,"")</f>
        <v>4</v>
      </c>
      <c r="J281" s="18">
        <f t="shared" si="25"/>
        <v>0</v>
      </c>
      <c r="K281" s="13">
        <f>IFERROR(INDEX(Lists!$L$5:$L$20,MATCH(INDEX(Lists!$C$5:$C$34,MATCH(B281,Lists!$A$5:$A$34,0))&amp;"|"&amp;D281,Lists!$I$5:$I$20,0)),"")</f>
        <v>130</v>
      </c>
      <c r="L281" s="19">
        <f t="shared" si="26"/>
        <v>0</v>
      </c>
      <c r="M281" s="15">
        <f t="shared" si="27"/>
        <v>520</v>
      </c>
      <c r="N281" s="20">
        <f t="shared" si="28"/>
        <v>0</v>
      </c>
      <c r="O281" s="10" t="str">
        <f t="shared" si="29"/>
        <v>OK</v>
      </c>
    </row>
    <row r="282" spans="1:15" x14ac:dyDescent="0.25">
      <c r="A282" s="7" t="s">
        <v>690</v>
      </c>
      <c r="B282" s="7" t="s">
        <v>329</v>
      </c>
      <c r="C282" s="9">
        <v>46289</v>
      </c>
      <c r="D282" s="7" t="s">
        <v>41</v>
      </c>
      <c r="E282" s="11">
        <v>4</v>
      </c>
      <c r="F282" s="12">
        <v>98</v>
      </c>
      <c r="G282" s="16">
        <v>392</v>
      </c>
      <c r="H282" s="10" t="str">
        <f t="shared" si="24"/>
        <v>E025|20260924|P101</v>
      </c>
      <c r="I282" s="17">
        <f>SUMIFS(Time_Entries!$J$5:$J$332,Time_Entries!$M$5:$M$332,H282,Time_Entries!$N$5:$N$332,"")</f>
        <v>4</v>
      </c>
      <c r="J282" s="18">
        <f t="shared" si="25"/>
        <v>0</v>
      </c>
      <c r="K282" s="13">
        <f>IFERROR(INDEX(Lists!$L$5:$L$20,MATCH(INDEX(Lists!$C$5:$C$34,MATCH(B282,Lists!$A$5:$A$34,0))&amp;"|"&amp;D282,Lists!$I$5:$I$20,0)),"")</f>
        <v>98</v>
      </c>
      <c r="L282" s="19">
        <f t="shared" si="26"/>
        <v>0</v>
      </c>
      <c r="M282" s="15">
        <f t="shared" si="27"/>
        <v>392</v>
      </c>
      <c r="N282" s="20">
        <f t="shared" si="28"/>
        <v>0</v>
      </c>
      <c r="O282" s="10" t="str">
        <f t="shared" si="29"/>
        <v>OK</v>
      </c>
    </row>
    <row r="283" spans="1:15" x14ac:dyDescent="0.25">
      <c r="A283" s="7" t="s">
        <v>691</v>
      </c>
      <c r="B283" s="7" t="s">
        <v>329</v>
      </c>
      <c r="C283" s="9">
        <v>46289</v>
      </c>
      <c r="D283" s="7" t="s">
        <v>46</v>
      </c>
      <c r="E283" s="11">
        <v>4</v>
      </c>
      <c r="F283" s="12">
        <v>103</v>
      </c>
      <c r="G283" s="16">
        <v>412</v>
      </c>
      <c r="H283" s="10" t="str">
        <f t="shared" si="24"/>
        <v>E025|20260924|P102</v>
      </c>
      <c r="I283" s="17">
        <f>SUMIFS(Time_Entries!$J$5:$J$332,Time_Entries!$M$5:$M$332,H283,Time_Entries!$N$5:$N$332,"")</f>
        <v>4</v>
      </c>
      <c r="J283" s="18">
        <f t="shared" si="25"/>
        <v>0</v>
      </c>
      <c r="K283" s="13">
        <f>IFERROR(INDEX(Lists!$L$5:$L$20,MATCH(INDEX(Lists!$C$5:$C$34,MATCH(B283,Lists!$A$5:$A$34,0))&amp;"|"&amp;D283,Lists!$I$5:$I$20,0)),"")</f>
        <v>103</v>
      </c>
      <c r="L283" s="19">
        <f t="shared" si="26"/>
        <v>0</v>
      </c>
      <c r="M283" s="15">
        <f t="shared" si="27"/>
        <v>412</v>
      </c>
      <c r="N283" s="20">
        <f t="shared" si="28"/>
        <v>0</v>
      </c>
      <c r="O283" s="10" t="str">
        <f t="shared" si="29"/>
        <v>OK</v>
      </c>
    </row>
    <row r="284" spans="1:15" x14ac:dyDescent="0.25">
      <c r="A284" s="7" t="s">
        <v>692</v>
      </c>
      <c r="B284" s="7" t="s">
        <v>342</v>
      </c>
      <c r="C284" s="9">
        <v>46289</v>
      </c>
      <c r="D284" s="7" t="s">
        <v>46</v>
      </c>
      <c r="E284" s="11">
        <v>8</v>
      </c>
      <c r="F284" s="12">
        <v>103</v>
      </c>
      <c r="G284" s="16">
        <v>824</v>
      </c>
      <c r="H284" s="10" t="str">
        <f t="shared" si="24"/>
        <v>E026|20260924|P102</v>
      </c>
      <c r="I284" s="17">
        <f>SUMIFS(Time_Entries!$J$5:$J$332,Time_Entries!$M$5:$M$332,H284,Time_Entries!$N$5:$N$332,"")</f>
        <v>8</v>
      </c>
      <c r="J284" s="18">
        <f t="shared" si="25"/>
        <v>0</v>
      </c>
      <c r="K284" s="13">
        <f>IFERROR(INDEX(Lists!$L$5:$L$20,MATCH(INDEX(Lists!$C$5:$C$34,MATCH(B284,Lists!$A$5:$A$34,0))&amp;"|"&amp;D284,Lists!$I$5:$I$20,0)),"")</f>
        <v>103</v>
      </c>
      <c r="L284" s="19">
        <f t="shared" si="26"/>
        <v>0</v>
      </c>
      <c r="M284" s="15">
        <f t="shared" si="27"/>
        <v>824</v>
      </c>
      <c r="N284" s="20">
        <f t="shared" si="28"/>
        <v>0</v>
      </c>
      <c r="O284" s="10" t="str">
        <f t="shared" si="29"/>
        <v>OK</v>
      </c>
    </row>
    <row r="285" spans="1:15" x14ac:dyDescent="0.25">
      <c r="A285" s="7" t="s">
        <v>693</v>
      </c>
      <c r="B285" s="7" t="s">
        <v>352</v>
      </c>
      <c r="C285" s="9">
        <v>46289</v>
      </c>
      <c r="D285" s="7" t="s">
        <v>50</v>
      </c>
      <c r="E285" s="11">
        <v>8</v>
      </c>
      <c r="F285" s="12">
        <v>93</v>
      </c>
      <c r="G285" s="16">
        <v>744</v>
      </c>
      <c r="H285" s="10" t="str">
        <f t="shared" si="24"/>
        <v>E027|20260924|P103</v>
      </c>
      <c r="I285" s="17">
        <f>SUMIFS(Time_Entries!$J$5:$J$332,Time_Entries!$M$5:$M$332,H285,Time_Entries!$N$5:$N$332,"")</f>
        <v>8</v>
      </c>
      <c r="J285" s="18">
        <f t="shared" si="25"/>
        <v>0</v>
      </c>
      <c r="K285" s="13">
        <f>IFERROR(INDEX(Lists!$L$5:$L$20,MATCH(INDEX(Lists!$C$5:$C$34,MATCH(B285,Lists!$A$5:$A$34,0))&amp;"|"&amp;D285,Lists!$I$5:$I$20,0)),"")</f>
        <v>93</v>
      </c>
      <c r="L285" s="19">
        <f t="shared" si="26"/>
        <v>0</v>
      </c>
      <c r="M285" s="15">
        <f t="shared" si="27"/>
        <v>744</v>
      </c>
      <c r="N285" s="20">
        <f t="shared" si="28"/>
        <v>0</v>
      </c>
      <c r="O285" s="10" t="str">
        <f t="shared" si="29"/>
        <v>OK</v>
      </c>
    </row>
    <row r="286" spans="1:15" x14ac:dyDescent="0.25">
      <c r="A286" s="7" t="s">
        <v>694</v>
      </c>
      <c r="B286" s="7" t="s">
        <v>363</v>
      </c>
      <c r="C286" s="9">
        <v>46289</v>
      </c>
      <c r="D286" s="7" t="s">
        <v>74</v>
      </c>
      <c r="E286" s="11">
        <v>8</v>
      </c>
      <c r="F286" s="12">
        <v>108</v>
      </c>
      <c r="G286" s="16">
        <v>864</v>
      </c>
      <c r="H286" s="10" t="str">
        <f t="shared" si="24"/>
        <v>E028|20260924|P104</v>
      </c>
      <c r="I286" s="17">
        <f>SUMIFS(Time_Entries!$J$5:$J$332,Time_Entries!$M$5:$M$332,H286,Time_Entries!$N$5:$N$332,"")</f>
        <v>8</v>
      </c>
      <c r="J286" s="18">
        <f t="shared" si="25"/>
        <v>0</v>
      </c>
      <c r="K286" s="13">
        <f>IFERROR(INDEX(Lists!$L$5:$L$20,MATCH(INDEX(Lists!$C$5:$C$34,MATCH(B286,Lists!$A$5:$A$34,0))&amp;"|"&amp;D286,Lists!$I$5:$I$20,0)),"")</f>
        <v>108</v>
      </c>
      <c r="L286" s="19">
        <f t="shared" si="26"/>
        <v>0</v>
      </c>
      <c r="M286" s="15">
        <f t="shared" si="27"/>
        <v>864</v>
      </c>
      <c r="N286" s="20">
        <f t="shared" si="28"/>
        <v>0</v>
      </c>
      <c r="O286" s="10" t="str">
        <f t="shared" si="29"/>
        <v>OK</v>
      </c>
    </row>
    <row r="287" spans="1:15" x14ac:dyDescent="0.25">
      <c r="A287" s="7" t="s">
        <v>695</v>
      </c>
      <c r="B287" s="7" t="s">
        <v>375</v>
      </c>
      <c r="C287" s="9">
        <v>46289</v>
      </c>
      <c r="D287" s="7" t="s">
        <v>41</v>
      </c>
      <c r="E287" s="11">
        <v>8</v>
      </c>
      <c r="F287" s="12">
        <v>98</v>
      </c>
      <c r="G287" s="16">
        <v>784</v>
      </c>
      <c r="H287" s="10" t="str">
        <f t="shared" si="24"/>
        <v>E029|20260924|P101</v>
      </c>
      <c r="I287" s="17">
        <f>SUMIFS(Time_Entries!$J$5:$J$332,Time_Entries!$M$5:$M$332,H287,Time_Entries!$N$5:$N$332,"")</f>
        <v>8</v>
      </c>
      <c r="J287" s="18">
        <f t="shared" si="25"/>
        <v>0</v>
      </c>
      <c r="K287" s="13">
        <f>IFERROR(INDEX(Lists!$L$5:$L$20,MATCH(INDEX(Lists!$C$5:$C$34,MATCH(B287,Lists!$A$5:$A$34,0))&amp;"|"&amp;D287,Lists!$I$5:$I$20,0)),"")</f>
        <v>98</v>
      </c>
      <c r="L287" s="19">
        <f t="shared" si="26"/>
        <v>0</v>
      </c>
      <c r="M287" s="15">
        <f t="shared" si="27"/>
        <v>784</v>
      </c>
      <c r="N287" s="20">
        <f t="shared" si="28"/>
        <v>0</v>
      </c>
      <c r="O287" s="10" t="str">
        <f t="shared" si="29"/>
        <v>OK</v>
      </c>
    </row>
    <row r="288" spans="1:15" x14ac:dyDescent="0.25">
      <c r="A288" s="7" t="s">
        <v>696</v>
      </c>
      <c r="B288" s="7" t="s">
        <v>385</v>
      </c>
      <c r="C288" s="9">
        <v>46289</v>
      </c>
      <c r="D288" s="7" t="s">
        <v>46</v>
      </c>
      <c r="E288" s="11">
        <v>8</v>
      </c>
      <c r="F288" s="12">
        <v>103</v>
      </c>
      <c r="G288" s="16">
        <v>824</v>
      </c>
      <c r="H288" s="10" t="str">
        <f t="shared" si="24"/>
        <v>E030|20260924|P102</v>
      </c>
      <c r="I288" s="17">
        <f>SUMIFS(Time_Entries!$J$5:$J$332,Time_Entries!$M$5:$M$332,H288,Time_Entries!$N$5:$N$332,"")</f>
        <v>8</v>
      </c>
      <c r="J288" s="18">
        <f t="shared" si="25"/>
        <v>0</v>
      </c>
      <c r="K288" s="13">
        <f>IFERROR(INDEX(Lists!$L$5:$L$20,MATCH(INDEX(Lists!$C$5:$C$34,MATCH(B288,Lists!$A$5:$A$34,0))&amp;"|"&amp;D288,Lists!$I$5:$I$20,0)),"")</f>
        <v>103</v>
      </c>
      <c r="L288" s="19">
        <f t="shared" si="26"/>
        <v>0</v>
      </c>
      <c r="M288" s="15">
        <f t="shared" si="27"/>
        <v>824</v>
      </c>
      <c r="N288" s="20">
        <f t="shared" si="28"/>
        <v>0</v>
      </c>
      <c r="O288" s="10" t="str">
        <f t="shared" si="29"/>
        <v>OK</v>
      </c>
    </row>
    <row r="289" spans="1:15" x14ac:dyDescent="0.25">
      <c r="A289" s="7" t="s">
        <v>697</v>
      </c>
      <c r="B289" s="7" t="s">
        <v>40</v>
      </c>
      <c r="C289" s="9">
        <v>46290</v>
      </c>
      <c r="D289" s="7" t="s">
        <v>41</v>
      </c>
      <c r="E289" s="11">
        <v>8</v>
      </c>
      <c r="F289" s="12">
        <v>78</v>
      </c>
      <c r="G289" s="16">
        <v>624</v>
      </c>
      <c r="H289" s="10" t="str">
        <f t="shared" si="24"/>
        <v>E001|20260925|P101</v>
      </c>
      <c r="I289" s="17">
        <f>SUMIFS(Time_Entries!$J$5:$J$332,Time_Entries!$M$5:$M$332,H289,Time_Entries!$N$5:$N$332,"")</f>
        <v>8</v>
      </c>
      <c r="J289" s="18">
        <f t="shared" si="25"/>
        <v>0</v>
      </c>
      <c r="K289" s="13">
        <f>IFERROR(INDEX(Lists!$L$5:$L$20,MATCH(INDEX(Lists!$C$5:$C$34,MATCH(B289,Lists!$A$5:$A$34,0))&amp;"|"&amp;D289,Lists!$I$5:$I$20,0)),"")</f>
        <v>78</v>
      </c>
      <c r="L289" s="19">
        <f t="shared" si="26"/>
        <v>0</v>
      </c>
      <c r="M289" s="15">
        <f t="shared" si="27"/>
        <v>624</v>
      </c>
      <c r="N289" s="20">
        <f t="shared" si="28"/>
        <v>0</v>
      </c>
      <c r="O289" s="10" t="str">
        <f t="shared" si="29"/>
        <v>OK</v>
      </c>
    </row>
    <row r="290" spans="1:15" x14ac:dyDescent="0.25">
      <c r="A290" s="7" t="s">
        <v>698</v>
      </c>
      <c r="B290" s="7" t="s">
        <v>58</v>
      </c>
      <c r="C290" s="9">
        <v>46290</v>
      </c>
      <c r="D290" s="7" t="s">
        <v>46</v>
      </c>
      <c r="E290" s="11">
        <v>6</v>
      </c>
      <c r="F290" s="12">
        <v>82</v>
      </c>
      <c r="G290" s="16">
        <v>492</v>
      </c>
      <c r="H290" s="10" t="str">
        <f t="shared" si="24"/>
        <v>E002|20260925|P102</v>
      </c>
      <c r="I290" s="17">
        <f>SUMIFS(Time_Entries!$J$5:$J$332,Time_Entries!$M$5:$M$332,H290,Time_Entries!$N$5:$N$332,"")</f>
        <v>8</v>
      </c>
      <c r="J290" s="18">
        <f t="shared" si="25"/>
        <v>-2</v>
      </c>
      <c r="K290" s="13">
        <f>IFERROR(INDEX(Lists!$L$5:$L$20,MATCH(INDEX(Lists!$C$5:$C$34,MATCH(B290,Lists!$A$5:$A$34,0))&amp;"|"&amp;D290,Lists!$I$5:$I$20,0)),"")</f>
        <v>82</v>
      </c>
      <c r="L290" s="19">
        <f t="shared" si="26"/>
        <v>0</v>
      </c>
      <c r="M290" s="15">
        <f t="shared" si="27"/>
        <v>656</v>
      </c>
      <c r="N290" s="20">
        <f t="shared" si="28"/>
        <v>-164</v>
      </c>
      <c r="O290" s="10" t="str">
        <f t="shared" si="29"/>
        <v>HOURS</v>
      </c>
    </row>
    <row r="291" spans="1:15" x14ac:dyDescent="0.25">
      <c r="A291" s="7" t="s">
        <v>699</v>
      </c>
      <c r="B291" s="7" t="s">
        <v>72</v>
      </c>
      <c r="C291" s="9">
        <v>46290</v>
      </c>
      <c r="D291" s="7" t="s">
        <v>50</v>
      </c>
      <c r="E291" s="11">
        <v>8</v>
      </c>
      <c r="F291" s="12">
        <v>74</v>
      </c>
      <c r="G291" s="16">
        <v>592</v>
      </c>
      <c r="H291" s="10" t="str">
        <f t="shared" si="24"/>
        <v>E003|20260925|P103</v>
      </c>
      <c r="I291" s="17">
        <f>SUMIFS(Time_Entries!$J$5:$J$332,Time_Entries!$M$5:$M$332,H291,Time_Entries!$N$5:$N$332,"")</f>
        <v>8</v>
      </c>
      <c r="J291" s="18">
        <f t="shared" si="25"/>
        <v>0</v>
      </c>
      <c r="K291" s="13">
        <f>IFERROR(INDEX(Lists!$L$5:$L$20,MATCH(INDEX(Lists!$C$5:$C$34,MATCH(B291,Lists!$A$5:$A$34,0))&amp;"|"&amp;D291,Lists!$I$5:$I$20,0)),"")</f>
        <v>74</v>
      </c>
      <c r="L291" s="19">
        <f t="shared" si="26"/>
        <v>0</v>
      </c>
      <c r="M291" s="15">
        <f t="shared" si="27"/>
        <v>592</v>
      </c>
      <c r="N291" s="20">
        <f t="shared" si="28"/>
        <v>0</v>
      </c>
      <c r="O291" s="10" t="str">
        <f t="shared" si="29"/>
        <v>OK</v>
      </c>
    </row>
    <row r="292" spans="1:15" x14ac:dyDescent="0.25">
      <c r="A292" s="7" t="s">
        <v>700</v>
      </c>
      <c r="B292" s="7" t="s">
        <v>87</v>
      </c>
      <c r="C292" s="9">
        <v>46290</v>
      </c>
      <c r="D292" s="7" t="s">
        <v>74</v>
      </c>
      <c r="E292" s="11">
        <v>8</v>
      </c>
      <c r="F292" s="12">
        <v>86</v>
      </c>
      <c r="G292" s="16">
        <v>688</v>
      </c>
      <c r="H292" s="10" t="str">
        <f t="shared" si="24"/>
        <v>E004|20260925|P104</v>
      </c>
      <c r="I292" s="17">
        <f>SUMIFS(Time_Entries!$J$5:$J$332,Time_Entries!$M$5:$M$332,H292,Time_Entries!$N$5:$N$332,"")</f>
        <v>8</v>
      </c>
      <c r="J292" s="18">
        <f t="shared" si="25"/>
        <v>0</v>
      </c>
      <c r="K292" s="13">
        <f>IFERROR(INDEX(Lists!$L$5:$L$20,MATCH(INDEX(Lists!$C$5:$C$34,MATCH(B292,Lists!$A$5:$A$34,0))&amp;"|"&amp;D292,Lists!$I$5:$I$20,0)),"")</f>
        <v>86</v>
      </c>
      <c r="L292" s="19">
        <f t="shared" si="26"/>
        <v>0</v>
      </c>
      <c r="M292" s="15">
        <f t="shared" si="27"/>
        <v>688</v>
      </c>
      <c r="N292" s="20">
        <f t="shared" si="28"/>
        <v>0</v>
      </c>
      <c r="O292" s="10" t="str">
        <f t="shared" si="29"/>
        <v>OK</v>
      </c>
    </row>
    <row r="293" spans="1:15" x14ac:dyDescent="0.25">
      <c r="A293" s="7" t="s">
        <v>701</v>
      </c>
      <c r="B293" s="7" t="s">
        <v>99</v>
      </c>
      <c r="C293" s="9">
        <v>46290</v>
      </c>
      <c r="D293" s="7" t="s">
        <v>41</v>
      </c>
      <c r="E293" s="11">
        <v>8</v>
      </c>
      <c r="F293" s="12">
        <v>78</v>
      </c>
      <c r="G293" s="16">
        <v>624</v>
      </c>
      <c r="H293" s="10" t="str">
        <f t="shared" si="24"/>
        <v>E005|20260925|P101</v>
      </c>
      <c r="I293" s="17">
        <f>SUMIFS(Time_Entries!$J$5:$J$332,Time_Entries!$M$5:$M$332,H293,Time_Entries!$N$5:$N$332,"")</f>
        <v>8</v>
      </c>
      <c r="J293" s="18">
        <f t="shared" si="25"/>
        <v>0</v>
      </c>
      <c r="K293" s="13">
        <f>IFERROR(INDEX(Lists!$L$5:$L$20,MATCH(INDEX(Lists!$C$5:$C$34,MATCH(B293,Lists!$A$5:$A$34,0))&amp;"|"&amp;D293,Lists!$I$5:$I$20,0)),"")</f>
        <v>78</v>
      </c>
      <c r="L293" s="19">
        <f t="shared" si="26"/>
        <v>0</v>
      </c>
      <c r="M293" s="15">
        <f t="shared" si="27"/>
        <v>624</v>
      </c>
      <c r="N293" s="20">
        <f t="shared" si="28"/>
        <v>0</v>
      </c>
      <c r="O293" s="10" t="str">
        <f t="shared" si="29"/>
        <v>OK</v>
      </c>
    </row>
    <row r="294" spans="1:15" x14ac:dyDescent="0.25">
      <c r="A294" s="7" t="s">
        <v>702</v>
      </c>
      <c r="B294" s="7" t="s">
        <v>110</v>
      </c>
      <c r="C294" s="9">
        <v>46290</v>
      </c>
      <c r="D294" s="7" t="s">
        <v>46</v>
      </c>
      <c r="E294" s="11">
        <v>4</v>
      </c>
      <c r="F294" s="12">
        <v>82</v>
      </c>
      <c r="G294" s="16">
        <v>328</v>
      </c>
      <c r="H294" s="10" t="str">
        <f t="shared" si="24"/>
        <v>E006|20260925|P102</v>
      </c>
      <c r="I294" s="17">
        <f>SUMIFS(Time_Entries!$J$5:$J$332,Time_Entries!$M$5:$M$332,H294,Time_Entries!$N$5:$N$332,"")</f>
        <v>4</v>
      </c>
      <c r="J294" s="18">
        <f t="shared" si="25"/>
        <v>0</v>
      </c>
      <c r="K294" s="13">
        <f>IFERROR(INDEX(Lists!$L$5:$L$20,MATCH(INDEX(Lists!$C$5:$C$34,MATCH(B294,Lists!$A$5:$A$34,0))&amp;"|"&amp;D294,Lists!$I$5:$I$20,0)),"")</f>
        <v>82</v>
      </c>
      <c r="L294" s="19">
        <f t="shared" si="26"/>
        <v>0</v>
      </c>
      <c r="M294" s="15">
        <f t="shared" si="27"/>
        <v>328</v>
      </c>
      <c r="N294" s="20">
        <f t="shared" si="28"/>
        <v>0</v>
      </c>
      <c r="O294" s="10" t="str">
        <f t="shared" si="29"/>
        <v>OK</v>
      </c>
    </row>
    <row r="295" spans="1:15" x14ac:dyDescent="0.25">
      <c r="A295" s="7" t="s">
        <v>703</v>
      </c>
      <c r="B295" s="7" t="s">
        <v>110</v>
      </c>
      <c r="C295" s="9">
        <v>46290</v>
      </c>
      <c r="D295" s="7" t="s">
        <v>74</v>
      </c>
      <c r="E295" s="11">
        <v>4</v>
      </c>
      <c r="F295" s="12">
        <v>86</v>
      </c>
      <c r="G295" s="16">
        <v>344</v>
      </c>
      <c r="H295" s="10" t="str">
        <f t="shared" si="24"/>
        <v>E006|20260925|P104</v>
      </c>
      <c r="I295" s="17">
        <f>SUMIFS(Time_Entries!$J$5:$J$332,Time_Entries!$M$5:$M$332,H295,Time_Entries!$N$5:$N$332,"")</f>
        <v>4</v>
      </c>
      <c r="J295" s="18">
        <f t="shared" si="25"/>
        <v>0</v>
      </c>
      <c r="K295" s="13">
        <f>IFERROR(INDEX(Lists!$L$5:$L$20,MATCH(INDEX(Lists!$C$5:$C$34,MATCH(B295,Lists!$A$5:$A$34,0))&amp;"|"&amp;D295,Lists!$I$5:$I$20,0)),"")</f>
        <v>86</v>
      </c>
      <c r="L295" s="19">
        <f t="shared" si="26"/>
        <v>0</v>
      </c>
      <c r="M295" s="15">
        <f t="shared" si="27"/>
        <v>344</v>
      </c>
      <c r="N295" s="20">
        <f t="shared" si="28"/>
        <v>0</v>
      </c>
      <c r="O295" s="10" t="str">
        <f t="shared" si="29"/>
        <v>OK</v>
      </c>
    </row>
    <row r="296" spans="1:15" x14ac:dyDescent="0.25">
      <c r="A296" s="7" t="s">
        <v>704</v>
      </c>
      <c r="B296" s="7" t="s">
        <v>124</v>
      </c>
      <c r="C296" s="9">
        <v>46290</v>
      </c>
      <c r="D296" s="7" t="s">
        <v>50</v>
      </c>
      <c r="E296" s="11">
        <v>8</v>
      </c>
      <c r="F296" s="12">
        <v>74</v>
      </c>
      <c r="G296" s="16">
        <v>592</v>
      </c>
      <c r="H296" s="10" t="str">
        <f t="shared" si="24"/>
        <v>E007|20260925|P103</v>
      </c>
      <c r="I296" s="17">
        <f>SUMIFS(Time_Entries!$J$5:$J$332,Time_Entries!$M$5:$M$332,H296,Time_Entries!$N$5:$N$332,"")</f>
        <v>8</v>
      </c>
      <c r="J296" s="18">
        <f t="shared" si="25"/>
        <v>0</v>
      </c>
      <c r="K296" s="13">
        <f>IFERROR(INDEX(Lists!$L$5:$L$20,MATCH(INDEX(Lists!$C$5:$C$34,MATCH(B296,Lists!$A$5:$A$34,0))&amp;"|"&amp;D296,Lists!$I$5:$I$20,0)),"")</f>
        <v>74</v>
      </c>
      <c r="L296" s="19">
        <f t="shared" si="26"/>
        <v>0</v>
      </c>
      <c r="M296" s="15">
        <f t="shared" si="27"/>
        <v>592</v>
      </c>
      <c r="N296" s="20">
        <f t="shared" si="28"/>
        <v>0</v>
      </c>
      <c r="O296" s="10" t="str">
        <f t="shared" si="29"/>
        <v>OK</v>
      </c>
    </row>
    <row r="297" spans="1:15" x14ac:dyDescent="0.25">
      <c r="A297" s="7" t="s">
        <v>705</v>
      </c>
      <c r="B297" s="7" t="s">
        <v>136</v>
      </c>
      <c r="C297" s="9">
        <v>46290</v>
      </c>
      <c r="D297" s="7" t="s">
        <v>74</v>
      </c>
      <c r="E297" s="11">
        <v>8</v>
      </c>
      <c r="F297" s="12">
        <v>86</v>
      </c>
      <c r="G297" s="16">
        <v>688</v>
      </c>
      <c r="H297" s="10" t="str">
        <f t="shared" si="24"/>
        <v>E008|20260925|P104</v>
      </c>
      <c r="I297" s="17">
        <f>SUMIFS(Time_Entries!$J$5:$J$332,Time_Entries!$M$5:$M$332,H297,Time_Entries!$N$5:$N$332,"")</f>
        <v>8</v>
      </c>
      <c r="J297" s="18">
        <f t="shared" si="25"/>
        <v>0</v>
      </c>
      <c r="K297" s="13">
        <f>IFERROR(INDEX(Lists!$L$5:$L$20,MATCH(INDEX(Lists!$C$5:$C$34,MATCH(B297,Lists!$A$5:$A$34,0))&amp;"|"&amp;D297,Lists!$I$5:$I$20,0)),"")</f>
        <v>86</v>
      </c>
      <c r="L297" s="19">
        <f t="shared" si="26"/>
        <v>0</v>
      </c>
      <c r="M297" s="15">
        <f t="shared" si="27"/>
        <v>688</v>
      </c>
      <c r="N297" s="20">
        <f t="shared" si="28"/>
        <v>0</v>
      </c>
      <c r="O297" s="10" t="str">
        <f t="shared" si="29"/>
        <v>OK</v>
      </c>
    </row>
    <row r="298" spans="1:15" x14ac:dyDescent="0.25">
      <c r="A298" s="7" t="s">
        <v>706</v>
      </c>
      <c r="B298" s="7" t="s">
        <v>147</v>
      </c>
      <c r="C298" s="9">
        <v>46290</v>
      </c>
      <c r="D298" s="7" t="s">
        <v>41</v>
      </c>
      <c r="E298" s="11">
        <v>8</v>
      </c>
      <c r="F298" s="12">
        <v>78</v>
      </c>
      <c r="G298" s="16">
        <v>624</v>
      </c>
      <c r="H298" s="10" t="str">
        <f t="shared" si="24"/>
        <v>E009|20260925|P101</v>
      </c>
      <c r="I298" s="17">
        <f>SUMIFS(Time_Entries!$J$5:$J$332,Time_Entries!$M$5:$M$332,H298,Time_Entries!$N$5:$N$332,"")</f>
        <v>8</v>
      </c>
      <c r="J298" s="18">
        <f t="shared" si="25"/>
        <v>0</v>
      </c>
      <c r="K298" s="13">
        <f>IFERROR(INDEX(Lists!$L$5:$L$20,MATCH(INDEX(Lists!$C$5:$C$34,MATCH(B298,Lists!$A$5:$A$34,0))&amp;"|"&amp;D298,Lists!$I$5:$I$20,0)),"")</f>
        <v>78</v>
      </c>
      <c r="L298" s="19">
        <f t="shared" si="26"/>
        <v>0</v>
      </c>
      <c r="M298" s="15">
        <f t="shared" si="27"/>
        <v>624</v>
      </c>
      <c r="N298" s="20">
        <f t="shared" si="28"/>
        <v>0</v>
      </c>
      <c r="O298" s="10" t="str">
        <f t="shared" si="29"/>
        <v>OK</v>
      </c>
    </row>
    <row r="299" spans="1:15" x14ac:dyDescent="0.25">
      <c r="A299" s="7" t="s">
        <v>707</v>
      </c>
      <c r="B299" s="7" t="s">
        <v>158</v>
      </c>
      <c r="C299" s="9">
        <v>46290</v>
      </c>
      <c r="D299" s="7" t="s">
        <v>46</v>
      </c>
      <c r="E299" s="11">
        <v>8</v>
      </c>
      <c r="F299" s="12">
        <v>110</v>
      </c>
      <c r="G299" s="16">
        <v>880</v>
      </c>
      <c r="H299" s="10" t="str">
        <f t="shared" si="24"/>
        <v>E010|20260925|P102</v>
      </c>
      <c r="I299" s="17">
        <f>SUMIFS(Time_Entries!$J$5:$J$332,Time_Entries!$M$5:$M$332,H299,Time_Entries!$N$5:$N$332,"")</f>
        <v>8</v>
      </c>
      <c r="J299" s="18">
        <f t="shared" si="25"/>
        <v>0</v>
      </c>
      <c r="K299" s="13">
        <f>IFERROR(INDEX(Lists!$L$5:$L$20,MATCH(INDEX(Lists!$C$5:$C$34,MATCH(B299,Lists!$A$5:$A$34,0))&amp;"|"&amp;D299,Lists!$I$5:$I$20,0)),"")</f>
        <v>110</v>
      </c>
      <c r="L299" s="19">
        <f t="shared" si="26"/>
        <v>0</v>
      </c>
      <c r="M299" s="15">
        <f t="shared" si="27"/>
        <v>880</v>
      </c>
      <c r="N299" s="20">
        <f t="shared" si="28"/>
        <v>0</v>
      </c>
      <c r="O299" s="10" t="str">
        <f t="shared" si="29"/>
        <v>OK</v>
      </c>
    </row>
    <row r="300" spans="1:15" x14ac:dyDescent="0.25">
      <c r="A300" s="7" t="s">
        <v>708</v>
      </c>
      <c r="B300" s="7" t="s">
        <v>170</v>
      </c>
      <c r="C300" s="9">
        <v>46290</v>
      </c>
      <c r="D300" s="7" t="s">
        <v>50</v>
      </c>
      <c r="E300" s="11">
        <v>8</v>
      </c>
      <c r="F300" s="12">
        <v>100</v>
      </c>
      <c r="G300" s="16">
        <v>800</v>
      </c>
      <c r="H300" s="10" t="str">
        <f t="shared" si="24"/>
        <v>E011|20260925|P103</v>
      </c>
      <c r="I300" s="17">
        <f>SUMIFS(Time_Entries!$J$5:$J$332,Time_Entries!$M$5:$M$332,H300,Time_Entries!$N$5:$N$332,"")</f>
        <v>8</v>
      </c>
      <c r="J300" s="18">
        <f t="shared" si="25"/>
        <v>0</v>
      </c>
      <c r="K300" s="13">
        <f>IFERROR(INDEX(Lists!$L$5:$L$20,MATCH(INDEX(Lists!$C$5:$C$34,MATCH(B300,Lists!$A$5:$A$34,0))&amp;"|"&amp;D300,Lists!$I$5:$I$20,0)),"")</f>
        <v>100</v>
      </c>
      <c r="L300" s="19">
        <f t="shared" si="26"/>
        <v>0</v>
      </c>
      <c r="M300" s="15">
        <f t="shared" si="27"/>
        <v>800</v>
      </c>
      <c r="N300" s="20">
        <f t="shared" si="28"/>
        <v>0</v>
      </c>
      <c r="O300" s="10" t="str">
        <f t="shared" si="29"/>
        <v>OK</v>
      </c>
    </row>
    <row r="301" spans="1:15" x14ac:dyDescent="0.25">
      <c r="A301" s="7" t="s">
        <v>709</v>
      </c>
      <c r="B301" s="7" t="s">
        <v>180</v>
      </c>
      <c r="C301" s="9">
        <v>46290</v>
      </c>
      <c r="D301" s="7" t="s">
        <v>74</v>
      </c>
      <c r="E301" s="11">
        <v>8</v>
      </c>
      <c r="F301" s="12">
        <v>110</v>
      </c>
      <c r="G301" s="16">
        <v>880</v>
      </c>
      <c r="H301" s="10" t="str">
        <f t="shared" si="24"/>
        <v>E012|20260925|P104</v>
      </c>
      <c r="I301" s="17">
        <f>SUMIFS(Time_Entries!$J$5:$J$332,Time_Entries!$M$5:$M$332,H301,Time_Entries!$N$5:$N$332,"")</f>
        <v>8</v>
      </c>
      <c r="J301" s="18">
        <f t="shared" si="25"/>
        <v>0</v>
      </c>
      <c r="K301" s="13">
        <f>IFERROR(INDEX(Lists!$L$5:$L$20,MATCH(INDEX(Lists!$C$5:$C$34,MATCH(B301,Lists!$A$5:$A$34,0))&amp;"|"&amp;D301,Lists!$I$5:$I$20,0)),"")</f>
        <v>116</v>
      </c>
      <c r="L301" s="19">
        <f t="shared" si="26"/>
        <v>-6</v>
      </c>
      <c r="M301" s="15">
        <f t="shared" si="27"/>
        <v>928</v>
      </c>
      <c r="N301" s="20">
        <f t="shared" si="28"/>
        <v>-48</v>
      </c>
      <c r="O301" s="10" t="str">
        <f t="shared" si="29"/>
        <v>RATE</v>
      </c>
    </row>
    <row r="302" spans="1:15" x14ac:dyDescent="0.25">
      <c r="A302" s="7" t="s">
        <v>710</v>
      </c>
      <c r="B302" s="7" t="s">
        <v>194</v>
      </c>
      <c r="C302" s="9">
        <v>46290</v>
      </c>
      <c r="D302" s="7" t="s">
        <v>41</v>
      </c>
      <c r="E302" s="11">
        <v>8</v>
      </c>
      <c r="F302" s="12">
        <v>105</v>
      </c>
      <c r="G302" s="16">
        <v>840</v>
      </c>
      <c r="H302" s="10" t="str">
        <f t="shared" si="24"/>
        <v>E013|20260925|P101</v>
      </c>
      <c r="I302" s="17">
        <f>SUMIFS(Time_Entries!$J$5:$J$332,Time_Entries!$M$5:$M$332,H302,Time_Entries!$N$5:$N$332,"")</f>
        <v>8</v>
      </c>
      <c r="J302" s="18">
        <f t="shared" si="25"/>
        <v>0</v>
      </c>
      <c r="K302" s="13">
        <f>IFERROR(INDEX(Lists!$L$5:$L$20,MATCH(INDEX(Lists!$C$5:$C$34,MATCH(B302,Lists!$A$5:$A$34,0))&amp;"|"&amp;D302,Lists!$I$5:$I$20,0)),"")</f>
        <v>105</v>
      </c>
      <c r="L302" s="19">
        <f t="shared" si="26"/>
        <v>0</v>
      </c>
      <c r="M302" s="15">
        <f t="shared" si="27"/>
        <v>840</v>
      </c>
      <c r="N302" s="20">
        <f t="shared" si="28"/>
        <v>0</v>
      </c>
      <c r="O302" s="10" t="str">
        <f t="shared" si="29"/>
        <v>OK</v>
      </c>
    </row>
    <row r="303" spans="1:15" x14ac:dyDescent="0.25">
      <c r="A303" s="7" t="s">
        <v>711</v>
      </c>
      <c r="B303" s="7" t="s">
        <v>206</v>
      </c>
      <c r="C303" s="9">
        <v>46290</v>
      </c>
      <c r="D303" s="7" t="s">
        <v>46</v>
      </c>
      <c r="E303" s="11">
        <v>8</v>
      </c>
      <c r="F303" s="12">
        <v>110</v>
      </c>
      <c r="G303" s="16">
        <v>880</v>
      </c>
      <c r="H303" s="10" t="str">
        <f t="shared" si="24"/>
        <v>E014|20260925|P102</v>
      </c>
      <c r="I303" s="17">
        <f>SUMIFS(Time_Entries!$J$5:$J$332,Time_Entries!$M$5:$M$332,H303,Time_Entries!$N$5:$N$332,"")</f>
        <v>8</v>
      </c>
      <c r="J303" s="18">
        <f t="shared" si="25"/>
        <v>0</v>
      </c>
      <c r="K303" s="13">
        <f>IFERROR(INDEX(Lists!$L$5:$L$20,MATCH(INDEX(Lists!$C$5:$C$34,MATCH(B303,Lists!$A$5:$A$34,0))&amp;"|"&amp;D303,Lists!$I$5:$I$20,0)),"")</f>
        <v>110</v>
      </c>
      <c r="L303" s="19">
        <f t="shared" si="26"/>
        <v>0</v>
      </c>
      <c r="M303" s="15">
        <f t="shared" si="27"/>
        <v>880</v>
      </c>
      <c r="N303" s="20">
        <f t="shared" si="28"/>
        <v>0</v>
      </c>
      <c r="O303" s="10" t="str">
        <f t="shared" si="29"/>
        <v>OK</v>
      </c>
    </row>
    <row r="304" spans="1:15" x14ac:dyDescent="0.25">
      <c r="A304" s="7" t="s">
        <v>712</v>
      </c>
      <c r="B304" s="7" t="s">
        <v>217</v>
      </c>
      <c r="C304" s="9">
        <v>46290</v>
      </c>
      <c r="D304" s="7" t="s">
        <v>50</v>
      </c>
      <c r="E304" s="11">
        <v>8</v>
      </c>
      <c r="F304" s="12">
        <v>100</v>
      </c>
      <c r="G304" s="16">
        <v>800</v>
      </c>
      <c r="H304" s="10" t="str">
        <f t="shared" si="24"/>
        <v>E015|20260925|P103</v>
      </c>
      <c r="I304" s="17">
        <f>SUMIFS(Time_Entries!$J$5:$J$332,Time_Entries!$M$5:$M$332,H304,Time_Entries!$N$5:$N$332,"")</f>
        <v>8</v>
      </c>
      <c r="J304" s="18">
        <f t="shared" si="25"/>
        <v>0</v>
      </c>
      <c r="K304" s="13">
        <f>IFERROR(INDEX(Lists!$L$5:$L$20,MATCH(INDEX(Lists!$C$5:$C$34,MATCH(B304,Lists!$A$5:$A$34,0))&amp;"|"&amp;D304,Lists!$I$5:$I$20,0)),"")</f>
        <v>100</v>
      </c>
      <c r="L304" s="19">
        <f t="shared" si="26"/>
        <v>0</v>
      </c>
      <c r="M304" s="15">
        <f t="shared" si="27"/>
        <v>800</v>
      </c>
      <c r="N304" s="20">
        <f t="shared" si="28"/>
        <v>0</v>
      </c>
      <c r="O304" s="10" t="str">
        <f t="shared" si="29"/>
        <v>OK</v>
      </c>
    </row>
    <row r="305" spans="1:15" x14ac:dyDescent="0.25">
      <c r="A305" s="7" t="s">
        <v>713</v>
      </c>
      <c r="B305" s="7" t="s">
        <v>229</v>
      </c>
      <c r="C305" s="9">
        <v>46290</v>
      </c>
      <c r="D305" s="7" t="s">
        <v>74</v>
      </c>
      <c r="E305" s="11">
        <v>8</v>
      </c>
      <c r="F305" s="12">
        <v>130</v>
      </c>
      <c r="G305" s="16">
        <v>1040</v>
      </c>
      <c r="H305" s="10" t="str">
        <f t="shared" si="24"/>
        <v>E016|20260925|P104</v>
      </c>
      <c r="I305" s="17">
        <f>SUMIFS(Time_Entries!$J$5:$J$332,Time_Entries!$M$5:$M$332,H305,Time_Entries!$N$5:$N$332,"")</f>
        <v>8</v>
      </c>
      <c r="J305" s="18">
        <f t="shared" si="25"/>
        <v>0</v>
      </c>
      <c r="K305" s="13">
        <f>IFERROR(INDEX(Lists!$L$5:$L$20,MATCH(INDEX(Lists!$C$5:$C$34,MATCH(B305,Lists!$A$5:$A$34,0))&amp;"|"&amp;D305,Lists!$I$5:$I$20,0)),"")</f>
        <v>130</v>
      </c>
      <c r="L305" s="19">
        <f t="shared" si="26"/>
        <v>0</v>
      </c>
      <c r="M305" s="15">
        <f t="shared" si="27"/>
        <v>1040</v>
      </c>
      <c r="N305" s="20">
        <f t="shared" si="28"/>
        <v>0</v>
      </c>
      <c r="O305" s="10" t="str">
        <f t="shared" si="29"/>
        <v>OK</v>
      </c>
    </row>
    <row r="306" spans="1:15" x14ac:dyDescent="0.25">
      <c r="A306" s="7" t="s">
        <v>714</v>
      </c>
      <c r="B306" s="7" t="s">
        <v>240</v>
      </c>
      <c r="C306" s="9">
        <v>46290</v>
      </c>
      <c r="D306" s="7" t="s">
        <v>41</v>
      </c>
      <c r="E306" s="11">
        <v>8</v>
      </c>
      <c r="F306" s="12">
        <v>118</v>
      </c>
      <c r="G306" s="16">
        <v>944</v>
      </c>
      <c r="H306" s="10" t="str">
        <f t="shared" si="24"/>
        <v>E017|20260925|P101</v>
      </c>
      <c r="I306" s="17">
        <f>SUMIFS(Time_Entries!$J$5:$J$332,Time_Entries!$M$5:$M$332,H306,Time_Entries!$N$5:$N$332,"")</f>
        <v>8</v>
      </c>
      <c r="J306" s="18">
        <f t="shared" si="25"/>
        <v>0</v>
      </c>
      <c r="K306" s="13">
        <f>IFERROR(INDEX(Lists!$L$5:$L$20,MATCH(INDEX(Lists!$C$5:$C$34,MATCH(B306,Lists!$A$5:$A$34,0))&amp;"|"&amp;D306,Lists!$I$5:$I$20,0)),"")</f>
        <v>118</v>
      </c>
      <c r="L306" s="19">
        <f t="shared" si="26"/>
        <v>0</v>
      </c>
      <c r="M306" s="15">
        <f t="shared" si="27"/>
        <v>944</v>
      </c>
      <c r="N306" s="20">
        <f t="shared" si="28"/>
        <v>0</v>
      </c>
      <c r="O306" s="10" t="str">
        <f t="shared" si="29"/>
        <v>OK</v>
      </c>
    </row>
    <row r="307" spans="1:15" x14ac:dyDescent="0.25">
      <c r="A307" s="7" t="s">
        <v>715</v>
      </c>
      <c r="B307" s="7" t="s">
        <v>250</v>
      </c>
      <c r="C307" s="9">
        <v>46290</v>
      </c>
      <c r="D307" s="7" t="s">
        <v>46</v>
      </c>
      <c r="E307" s="11">
        <v>8</v>
      </c>
      <c r="F307" s="12">
        <v>124</v>
      </c>
      <c r="G307" s="16">
        <v>992</v>
      </c>
      <c r="H307" s="10" t="str">
        <f t="shared" si="24"/>
        <v>E018|20260925|P102</v>
      </c>
      <c r="I307" s="17">
        <f>SUMIFS(Time_Entries!$J$5:$J$332,Time_Entries!$M$5:$M$332,H307,Time_Entries!$N$5:$N$332,"")</f>
        <v>8</v>
      </c>
      <c r="J307" s="18">
        <f t="shared" si="25"/>
        <v>0</v>
      </c>
      <c r="K307" s="13">
        <f>IFERROR(INDEX(Lists!$L$5:$L$20,MATCH(INDEX(Lists!$C$5:$C$34,MATCH(B307,Lists!$A$5:$A$34,0))&amp;"|"&amp;D307,Lists!$I$5:$I$20,0)),"")</f>
        <v>124</v>
      </c>
      <c r="L307" s="19">
        <f t="shared" si="26"/>
        <v>0</v>
      </c>
      <c r="M307" s="15">
        <f t="shared" si="27"/>
        <v>992</v>
      </c>
      <c r="N307" s="20">
        <f t="shared" si="28"/>
        <v>0</v>
      </c>
      <c r="O307" s="10" t="str">
        <f t="shared" si="29"/>
        <v>OK</v>
      </c>
    </row>
    <row r="308" spans="1:15" x14ac:dyDescent="0.25">
      <c r="A308" s="7" t="s">
        <v>716</v>
      </c>
      <c r="B308" s="7" t="s">
        <v>262</v>
      </c>
      <c r="C308" s="9">
        <v>46290</v>
      </c>
      <c r="D308" s="7" t="s">
        <v>50</v>
      </c>
      <c r="E308" s="11">
        <v>8</v>
      </c>
      <c r="F308" s="12">
        <v>122</v>
      </c>
      <c r="G308" s="16">
        <v>976</v>
      </c>
      <c r="H308" s="10" t="str">
        <f t="shared" si="24"/>
        <v>E019|20260925|P103</v>
      </c>
      <c r="I308" s="17">
        <f>SUMIFS(Time_Entries!$J$5:$J$332,Time_Entries!$M$5:$M$332,H308,Time_Entries!$N$5:$N$332,"")</f>
        <v>8</v>
      </c>
      <c r="J308" s="18">
        <f t="shared" si="25"/>
        <v>0</v>
      </c>
      <c r="K308" s="13">
        <f>IFERROR(INDEX(Lists!$L$5:$L$20,MATCH(INDEX(Lists!$C$5:$C$34,MATCH(B308,Lists!$A$5:$A$34,0))&amp;"|"&amp;D308,Lists!$I$5:$I$20,0)),"")</f>
        <v>112</v>
      </c>
      <c r="L308" s="19">
        <f t="shared" si="26"/>
        <v>10</v>
      </c>
      <c r="M308" s="15">
        <f t="shared" si="27"/>
        <v>896</v>
      </c>
      <c r="N308" s="20">
        <f t="shared" si="28"/>
        <v>80</v>
      </c>
      <c r="O308" s="10" t="str">
        <f t="shared" si="29"/>
        <v>RATE</v>
      </c>
    </row>
    <row r="309" spans="1:15" x14ac:dyDescent="0.25">
      <c r="A309" s="7" t="s">
        <v>717</v>
      </c>
      <c r="B309" s="7" t="s">
        <v>273</v>
      </c>
      <c r="C309" s="9">
        <v>46290</v>
      </c>
      <c r="D309" s="7" t="s">
        <v>74</v>
      </c>
      <c r="E309" s="11">
        <v>8</v>
      </c>
      <c r="F309" s="12">
        <v>130</v>
      </c>
      <c r="G309" s="16">
        <v>1040</v>
      </c>
      <c r="H309" s="10" t="str">
        <f t="shared" si="24"/>
        <v>E020|20260925|P104</v>
      </c>
      <c r="I309" s="17">
        <f>SUMIFS(Time_Entries!$J$5:$J$332,Time_Entries!$M$5:$M$332,H309,Time_Entries!$N$5:$N$332,"")</f>
        <v>8</v>
      </c>
      <c r="J309" s="18">
        <f t="shared" si="25"/>
        <v>0</v>
      </c>
      <c r="K309" s="13">
        <f>IFERROR(INDEX(Lists!$L$5:$L$20,MATCH(INDEX(Lists!$C$5:$C$34,MATCH(B309,Lists!$A$5:$A$34,0))&amp;"|"&amp;D309,Lists!$I$5:$I$20,0)),"")</f>
        <v>130</v>
      </c>
      <c r="L309" s="19">
        <f t="shared" si="26"/>
        <v>0</v>
      </c>
      <c r="M309" s="15">
        <f t="shared" si="27"/>
        <v>1040</v>
      </c>
      <c r="N309" s="20">
        <f t="shared" si="28"/>
        <v>0</v>
      </c>
      <c r="O309" s="10" t="str">
        <f t="shared" si="29"/>
        <v>OK</v>
      </c>
    </row>
    <row r="310" spans="1:15" x14ac:dyDescent="0.25">
      <c r="A310" s="7" t="s">
        <v>718</v>
      </c>
      <c r="B310" s="7" t="s">
        <v>284</v>
      </c>
      <c r="C310" s="9">
        <v>46290</v>
      </c>
      <c r="D310" s="7" t="s">
        <v>41</v>
      </c>
      <c r="E310" s="11">
        <v>8</v>
      </c>
      <c r="F310" s="12">
        <v>118</v>
      </c>
      <c r="G310" s="16">
        <v>944</v>
      </c>
      <c r="H310" s="10" t="str">
        <f t="shared" si="24"/>
        <v>E021|20260925|P101</v>
      </c>
      <c r="I310" s="17">
        <f>SUMIFS(Time_Entries!$J$5:$J$332,Time_Entries!$M$5:$M$332,H310,Time_Entries!$N$5:$N$332,"")</f>
        <v>8</v>
      </c>
      <c r="J310" s="18">
        <f t="shared" si="25"/>
        <v>0</v>
      </c>
      <c r="K310" s="13">
        <f>IFERROR(INDEX(Lists!$L$5:$L$20,MATCH(INDEX(Lists!$C$5:$C$34,MATCH(B310,Lists!$A$5:$A$34,0))&amp;"|"&amp;D310,Lists!$I$5:$I$20,0)),"")</f>
        <v>118</v>
      </c>
      <c r="L310" s="19">
        <f t="shared" si="26"/>
        <v>0</v>
      </c>
      <c r="M310" s="15">
        <f t="shared" si="27"/>
        <v>944</v>
      </c>
      <c r="N310" s="20">
        <f t="shared" si="28"/>
        <v>0</v>
      </c>
      <c r="O310" s="10" t="str">
        <f t="shared" si="29"/>
        <v>OK</v>
      </c>
    </row>
    <row r="311" spans="1:15" x14ac:dyDescent="0.25">
      <c r="A311" s="7" t="s">
        <v>719</v>
      </c>
      <c r="B311" s="7" t="s">
        <v>295</v>
      </c>
      <c r="C311" s="9">
        <v>46290</v>
      </c>
      <c r="D311" s="7" t="s">
        <v>46</v>
      </c>
      <c r="E311" s="11">
        <v>8</v>
      </c>
      <c r="F311" s="12">
        <v>124</v>
      </c>
      <c r="G311" s="16">
        <v>992</v>
      </c>
      <c r="H311" s="10" t="str">
        <f t="shared" si="24"/>
        <v>E022|20260925|P102</v>
      </c>
      <c r="I311" s="17">
        <f>SUMIFS(Time_Entries!$J$5:$J$332,Time_Entries!$M$5:$M$332,H311,Time_Entries!$N$5:$N$332,"")</f>
        <v>8</v>
      </c>
      <c r="J311" s="18">
        <f t="shared" si="25"/>
        <v>0</v>
      </c>
      <c r="K311" s="13">
        <f>IFERROR(INDEX(Lists!$L$5:$L$20,MATCH(INDEX(Lists!$C$5:$C$34,MATCH(B311,Lists!$A$5:$A$34,0))&amp;"|"&amp;D311,Lists!$I$5:$I$20,0)),"")</f>
        <v>124</v>
      </c>
      <c r="L311" s="19">
        <f t="shared" si="26"/>
        <v>0</v>
      </c>
      <c r="M311" s="15">
        <f t="shared" si="27"/>
        <v>992</v>
      </c>
      <c r="N311" s="20">
        <f t="shared" si="28"/>
        <v>0</v>
      </c>
      <c r="O311" s="10" t="str">
        <f t="shared" si="29"/>
        <v>OK</v>
      </c>
    </row>
    <row r="312" spans="1:15" x14ac:dyDescent="0.25">
      <c r="A312" s="7" t="s">
        <v>720</v>
      </c>
      <c r="B312" s="7" t="s">
        <v>307</v>
      </c>
      <c r="C312" s="9">
        <v>46290</v>
      </c>
      <c r="D312" s="7" t="s">
        <v>50</v>
      </c>
      <c r="E312" s="11">
        <v>8</v>
      </c>
      <c r="F312" s="12">
        <v>112</v>
      </c>
      <c r="G312" s="16">
        <v>896</v>
      </c>
      <c r="H312" s="10" t="str">
        <f t="shared" si="24"/>
        <v>E023|20260925|P103</v>
      </c>
      <c r="I312" s="17">
        <f>SUMIFS(Time_Entries!$J$5:$J$332,Time_Entries!$M$5:$M$332,H312,Time_Entries!$N$5:$N$332,"")</f>
        <v>8</v>
      </c>
      <c r="J312" s="18">
        <f t="shared" si="25"/>
        <v>0</v>
      </c>
      <c r="K312" s="13">
        <f>IFERROR(INDEX(Lists!$L$5:$L$20,MATCH(INDEX(Lists!$C$5:$C$34,MATCH(B312,Lists!$A$5:$A$34,0))&amp;"|"&amp;D312,Lists!$I$5:$I$20,0)),"")</f>
        <v>112</v>
      </c>
      <c r="L312" s="19">
        <f t="shared" si="26"/>
        <v>0</v>
      </c>
      <c r="M312" s="15">
        <f t="shared" si="27"/>
        <v>896</v>
      </c>
      <c r="N312" s="20">
        <f t="shared" si="28"/>
        <v>0</v>
      </c>
      <c r="O312" s="10" t="str">
        <f t="shared" si="29"/>
        <v>OK</v>
      </c>
    </row>
    <row r="313" spans="1:15" x14ac:dyDescent="0.25">
      <c r="A313" s="7" t="s">
        <v>721</v>
      </c>
      <c r="B313" s="7" t="s">
        <v>317</v>
      </c>
      <c r="C313" s="9">
        <v>46290</v>
      </c>
      <c r="D313" s="7" t="s">
        <v>74</v>
      </c>
      <c r="E313" s="11">
        <v>8</v>
      </c>
      <c r="F313" s="12">
        <v>130</v>
      </c>
      <c r="G313" s="16">
        <v>1040</v>
      </c>
      <c r="H313" s="10" t="str">
        <f t="shared" si="24"/>
        <v>E024|20260925|P104</v>
      </c>
      <c r="I313" s="17">
        <f>SUMIFS(Time_Entries!$J$5:$J$332,Time_Entries!$M$5:$M$332,H313,Time_Entries!$N$5:$N$332,"")</f>
        <v>8</v>
      </c>
      <c r="J313" s="18">
        <f t="shared" si="25"/>
        <v>0</v>
      </c>
      <c r="K313" s="13">
        <f>IFERROR(INDEX(Lists!$L$5:$L$20,MATCH(INDEX(Lists!$C$5:$C$34,MATCH(B313,Lists!$A$5:$A$34,0))&amp;"|"&amp;D313,Lists!$I$5:$I$20,0)),"")</f>
        <v>130</v>
      </c>
      <c r="L313" s="19">
        <f t="shared" si="26"/>
        <v>0</v>
      </c>
      <c r="M313" s="15">
        <f t="shared" si="27"/>
        <v>1040</v>
      </c>
      <c r="N313" s="20">
        <f t="shared" si="28"/>
        <v>0</v>
      </c>
      <c r="O313" s="10" t="str">
        <f t="shared" si="29"/>
        <v>OK</v>
      </c>
    </row>
    <row r="314" spans="1:15" x14ac:dyDescent="0.25">
      <c r="A314" s="7" t="s">
        <v>722</v>
      </c>
      <c r="B314" s="7" t="s">
        <v>329</v>
      </c>
      <c r="C314" s="9">
        <v>46290</v>
      </c>
      <c r="D314" s="7" t="s">
        <v>41</v>
      </c>
      <c r="E314" s="11">
        <v>8</v>
      </c>
      <c r="F314" s="12">
        <v>98</v>
      </c>
      <c r="G314" s="16">
        <v>784</v>
      </c>
      <c r="H314" s="10" t="str">
        <f t="shared" si="24"/>
        <v>E025|20260925|P101</v>
      </c>
      <c r="I314" s="17">
        <f>SUMIFS(Time_Entries!$J$5:$J$332,Time_Entries!$M$5:$M$332,H314,Time_Entries!$N$5:$N$332,"")</f>
        <v>8</v>
      </c>
      <c r="J314" s="18">
        <f t="shared" si="25"/>
        <v>0</v>
      </c>
      <c r="K314" s="13">
        <f>IFERROR(INDEX(Lists!$L$5:$L$20,MATCH(INDEX(Lists!$C$5:$C$34,MATCH(B314,Lists!$A$5:$A$34,0))&amp;"|"&amp;D314,Lists!$I$5:$I$20,0)),"")</f>
        <v>98</v>
      </c>
      <c r="L314" s="19">
        <f t="shared" si="26"/>
        <v>0</v>
      </c>
      <c r="M314" s="15">
        <f t="shared" si="27"/>
        <v>784</v>
      </c>
      <c r="N314" s="20">
        <f t="shared" si="28"/>
        <v>0</v>
      </c>
      <c r="O314" s="10" t="str">
        <f t="shared" si="29"/>
        <v>OK</v>
      </c>
    </row>
    <row r="315" spans="1:15" x14ac:dyDescent="0.25">
      <c r="A315" s="7" t="s">
        <v>723</v>
      </c>
      <c r="B315" s="7" t="s">
        <v>352</v>
      </c>
      <c r="C315" s="9">
        <v>46290</v>
      </c>
      <c r="D315" s="7" t="s">
        <v>50</v>
      </c>
      <c r="E315" s="11">
        <v>8</v>
      </c>
      <c r="F315" s="12">
        <v>93</v>
      </c>
      <c r="G315" s="16">
        <v>744</v>
      </c>
      <c r="H315" s="10" t="str">
        <f t="shared" si="24"/>
        <v>E027|20260925|P103</v>
      </c>
      <c r="I315" s="17">
        <f>SUMIFS(Time_Entries!$J$5:$J$332,Time_Entries!$M$5:$M$332,H315,Time_Entries!$N$5:$N$332,"")</f>
        <v>8</v>
      </c>
      <c r="J315" s="18">
        <f t="shared" si="25"/>
        <v>0</v>
      </c>
      <c r="K315" s="13">
        <f>IFERROR(INDEX(Lists!$L$5:$L$20,MATCH(INDEX(Lists!$C$5:$C$34,MATCH(B315,Lists!$A$5:$A$34,0))&amp;"|"&amp;D315,Lists!$I$5:$I$20,0)),"")</f>
        <v>93</v>
      </c>
      <c r="L315" s="19">
        <f t="shared" si="26"/>
        <v>0</v>
      </c>
      <c r="M315" s="15">
        <f t="shared" si="27"/>
        <v>744</v>
      </c>
      <c r="N315" s="20">
        <f t="shared" si="28"/>
        <v>0</v>
      </c>
      <c r="O315" s="10" t="str">
        <f t="shared" si="29"/>
        <v>OK</v>
      </c>
    </row>
    <row r="316" spans="1:15" x14ac:dyDescent="0.25">
      <c r="A316" s="7" t="s">
        <v>724</v>
      </c>
      <c r="B316" s="7" t="s">
        <v>363</v>
      </c>
      <c r="C316" s="9">
        <v>46290</v>
      </c>
      <c r="D316" s="7" t="s">
        <v>74</v>
      </c>
      <c r="E316" s="11">
        <v>8</v>
      </c>
      <c r="F316" s="12">
        <v>108</v>
      </c>
      <c r="G316" s="16">
        <v>864</v>
      </c>
      <c r="H316" s="10" t="str">
        <f t="shared" si="24"/>
        <v>E028|20260925|P104</v>
      </c>
      <c r="I316" s="17">
        <f>SUMIFS(Time_Entries!$J$5:$J$332,Time_Entries!$M$5:$M$332,H316,Time_Entries!$N$5:$N$332,"")</f>
        <v>8</v>
      </c>
      <c r="J316" s="18">
        <f t="shared" si="25"/>
        <v>0</v>
      </c>
      <c r="K316" s="13">
        <f>IFERROR(INDEX(Lists!$L$5:$L$20,MATCH(INDEX(Lists!$C$5:$C$34,MATCH(B316,Lists!$A$5:$A$34,0))&amp;"|"&amp;D316,Lists!$I$5:$I$20,0)),"")</f>
        <v>108</v>
      </c>
      <c r="L316" s="19">
        <f t="shared" si="26"/>
        <v>0</v>
      </c>
      <c r="M316" s="15">
        <f t="shared" si="27"/>
        <v>864</v>
      </c>
      <c r="N316" s="20">
        <f t="shared" si="28"/>
        <v>0</v>
      </c>
      <c r="O316" s="10" t="str">
        <f t="shared" si="29"/>
        <v>OK</v>
      </c>
    </row>
    <row r="317" spans="1:15" x14ac:dyDescent="0.25">
      <c r="A317" s="7" t="s">
        <v>725</v>
      </c>
      <c r="B317" s="7" t="s">
        <v>375</v>
      </c>
      <c r="C317" s="9">
        <v>46290</v>
      </c>
      <c r="D317" s="7" t="s">
        <v>41</v>
      </c>
      <c r="E317" s="11">
        <v>8</v>
      </c>
      <c r="F317" s="12">
        <v>98</v>
      </c>
      <c r="G317" s="16">
        <v>784</v>
      </c>
      <c r="H317" s="10" t="str">
        <f t="shared" si="24"/>
        <v>E029|20260925|P101</v>
      </c>
      <c r="I317" s="17">
        <f>SUMIFS(Time_Entries!$J$5:$J$332,Time_Entries!$M$5:$M$332,H317,Time_Entries!$N$5:$N$332,"")</f>
        <v>8</v>
      </c>
      <c r="J317" s="18">
        <f t="shared" si="25"/>
        <v>0</v>
      </c>
      <c r="K317" s="13">
        <f>IFERROR(INDEX(Lists!$L$5:$L$20,MATCH(INDEX(Lists!$C$5:$C$34,MATCH(B317,Lists!$A$5:$A$34,0))&amp;"|"&amp;D317,Lists!$I$5:$I$20,0)),"")</f>
        <v>98</v>
      </c>
      <c r="L317" s="19">
        <f t="shared" si="26"/>
        <v>0</v>
      </c>
      <c r="M317" s="15">
        <f t="shared" si="27"/>
        <v>784</v>
      </c>
      <c r="N317" s="20">
        <f t="shared" si="28"/>
        <v>0</v>
      </c>
      <c r="O317" s="10" t="str">
        <f t="shared" si="29"/>
        <v>OK</v>
      </c>
    </row>
    <row r="318" spans="1:15" x14ac:dyDescent="0.25">
      <c r="A318" s="7" t="s">
        <v>726</v>
      </c>
      <c r="B318" s="7" t="s">
        <v>385</v>
      </c>
      <c r="C318" s="9">
        <v>46290</v>
      </c>
      <c r="D318" s="7" t="s">
        <v>46</v>
      </c>
      <c r="E318" s="11">
        <v>4</v>
      </c>
      <c r="F318" s="12">
        <v>103</v>
      </c>
      <c r="G318" s="16">
        <v>412</v>
      </c>
      <c r="H318" s="10" t="str">
        <f t="shared" si="24"/>
        <v>E030|20260925|P102</v>
      </c>
      <c r="I318" s="17">
        <f>SUMIFS(Time_Entries!$J$5:$J$332,Time_Entries!$M$5:$M$332,H318,Time_Entries!$N$5:$N$332,"")</f>
        <v>4</v>
      </c>
      <c r="J318" s="18">
        <f t="shared" si="25"/>
        <v>0</v>
      </c>
      <c r="K318" s="13">
        <f>IFERROR(INDEX(Lists!$L$5:$L$20,MATCH(INDEX(Lists!$C$5:$C$34,MATCH(B318,Lists!$A$5:$A$34,0))&amp;"|"&amp;D318,Lists!$I$5:$I$20,0)),"")</f>
        <v>103</v>
      </c>
      <c r="L318" s="19">
        <f t="shared" si="26"/>
        <v>0</v>
      </c>
      <c r="M318" s="15">
        <f t="shared" si="27"/>
        <v>412</v>
      </c>
      <c r="N318" s="20">
        <f t="shared" si="28"/>
        <v>0</v>
      </c>
      <c r="O318" s="10" t="str">
        <f t="shared" si="29"/>
        <v>OK</v>
      </c>
    </row>
    <row r="319" spans="1:15" x14ac:dyDescent="0.25">
      <c r="A319" s="7" t="s">
        <v>727</v>
      </c>
      <c r="B319" s="7" t="s">
        <v>385</v>
      </c>
      <c r="C319" s="9">
        <v>46290</v>
      </c>
      <c r="D319" s="7" t="s">
        <v>74</v>
      </c>
      <c r="E319" s="11">
        <v>4</v>
      </c>
      <c r="F319" s="12">
        <v>108</v>
      </c>
      <c r="G319" s="16">
        <v>432</v>
      </c>
      <c r="H319" s="10" t="str">
        <f t="shared" si="24"/>
        <v>E030|20260925|P104</v>
      </c>
      <c r="I319" s="17">
        <f>SUMIFS(Time_Entries!$J$5:$J$332,Time_Entries!$M$5:$M$332,H319,Time_Entries!$N$5:$N$332,"")</f>
        <v>4</v>
      </c>
      <c r="J319" s="18">
        <f t="shared" si="25"/>
        <v>0</v>
      </c>
      <c r="K319" s="13">
        <f>IFERROR(INDEX(Lists!$L$5:$L$20,MATCH(INDEX(Lists!$C$5:$C$34,MATCH(B319,Lists!$A$5:$A$34,0))&amp;"|"&amp;D319,Lists!$I$5:$I$20,0)),"")</f>
        <v>108</v>
      </c>
      <c r="L319" s="19">
        <f t="shared" si="26"/>
        <v>0</v>
      </c>
      <c r="M319" s="15">
        <f t="shared" si="27"/>
        <v>432</v>
      </c>
      <c r="N319" s="20">
        <f t="shared" si="28"/>
        <v>0</v>
      </c>
      <c r="O319" s="10" t="str">
        <f t="shared" si="29"/>
        <v>OK</v>
      </c>
    </row>
  </sheetData>
  <autoFilter ref="A4:O319" xr:uid="{00000000-0009-0000-0000-000002000000}"/>
  <mergeCells count="1">
    <mergeCell ref="A1:O1"/>
  </mergeCells>
  <conditionalFormatting sqref="O5:O319">
    <cfRule type="expression" dxfId="3" priority="2">
      <formula>O5&lt;&gt;"OK"</formula>
    </cfRule>
  </conditionalFormatting>
  <printOptions horizontalCentered="1"/>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40"/>
  <sheetViews>
    <sheetView zoomScaleNormal="100" workbookViewId="0">
      <pane xSplit="2" ySplit="5" topLeftCell="C6" activePane="bottomRight" state="frozen"/>
      <selection pane="topRight" activeCell="C1" sqref="C1"/>
      <selection pane="bottomLeft" activeCell="A6" sqref="A6"/>
      <selection pane="bottomRight" activeCell="S13" sqref="S13"/>
    </sheetView>
  </sheetViews>
  <sheetFormatPr defaultColWidth="8.7109375" defaultRowHeight="15" x14ac:dyDescent="0.25"/>
  <cols>
    <col min="1" max="1" width="16.28515625" customWidth="1"/>
    <col min="2" max="2" width="27.28515625" bestFit="1" customWidth="1"/>
    <col min="3" max="3" width="11.5703125" bestFit="1" customWidth="1"/>
    <col min="4" max="4" width="11.140625" bestFit="1" customWidth="1"/>
    <col min="5" max="5" width="11.85546875" bestFit="1" customWidth="1"/>
    <col min="6" max="6" width="11.140625" bestFit="1" customWidth="1"/>
    <col min="7" max="7" width="10.140625" bestFit="1" customWidth="1"/>
    <col min="8" max="8" width="11.5703125" bestFit="1" customWidth="1"/>
    <col min="9" max="9" width="11.140625" bestFit="1" customWidth="1"/>
    <col min="10" max="10" width="11.85546875" bestFit="1" customWidth="1"/>
    <col min="11" max="11" width="11.140625" bestFit="1" customWidth="1"/>
    <col min="12" max="12" width="10.140625" bestFit="1" customWidth="1"/>
    <col min="13" max="13" width="6" bestFit="1" customWidth="1"/>
    <col min="14" max="14" width="9.42578125" bestFit="1" customWidth="1"/>
    <col min="15" max="15" width="9.140625" bestFit="1" customWidth="1"/>
  </cols>
  <sheetData>
    <row r="1" spans="1:16" ht="30" customHeight="1" x14ac:dyDescent="0.25">
      <c r="A1" s="33" t="s">
        <v>0</v>
      </c>
      <c r="B1" s="33"/>
      <c r="C1" s="33"/>
      <c r="D1" s="33"/>
      <c r="E1" s="33"/>
      <c r="F1" s="33"/>
      <c r="G1" s="33"/>
      <c r="H1" s="33"/>
      <c r="I1" s="33"/>
      <c r="J1" s="33"/>
      <c r="K1" s="33"/>
      <c r="L1" s="33"/>
      <c r="M1" s="33"/>
      <c r="N1" s="33"/>
      <c r="O1" s="33"/>
      <c r="P1" s="33"/>
    </row>
    <row r="2" spans="1:16" ht="18" x14ac:dyDescent="0.25">
      <c r="A2" s="1" t="s">
        <v>728</v>
      </c>
    </row>
    <row r="3" spans="1:16" x14ac:dyDescent="0.25">
      <c r="A3" s="2" t="s">
        <v>729</v>
      </c>
    </row>
    <row r="5" spans="1:16" ht="36" customHeight="1" x14ac:dyDescent="0.25">
      <c r="A5" s="6" t="s">
        <v>19</v>
      </c>
      <c r="B5" s="6" t="s">
        <v>20</v>
      </c>
      <c r="C5" s="21">
        <v>46279</v>
      </c>
      <c r="D5" s="21">
        <v>46280</v>
      </c>
      <c r="E5" s="21">
        <v>46281</v>
      </c>
      <c r="F5" s="21">
        <v>46282</v>
      </c>
      <c r="G5" s="21">
        <v>46283</v>
      </c>
      <c r="H5" s="21">
        <v>46286</v>
      </c>
      <c r="I5" s="21">
        <v>46287</v>
      </c>
      <c r="J5" s="21">
        <v>46288</v>
      </c>
      <c r="K5" s="21">
        <v>46289</v>
      </c>
      <c r="L5" s="21">
        <v>46290</v>
      </c>
      <c r="M5" s="6" t="s">
        <v>730</v>
      </c>
      <c r="N5" s="6" t="s">
        <v>731</v>
      </c>
      <c r="O5" s="6" t="s">
        <v>732</v>
      </c>
    </row>
    <row r="6" spans="1:16" x14ac:dyDescent="0.25">
      <c r="A6" s="7" t="s">
        <v>40</v>
      </c>
      <c r="B6" s="8" t="str">
        <f>Lists!B5</f>
        <v>Avery Abbott</v>
      </c>
      <c r="C6" s="22">
        <f>IF(COUNTIFS(Lists!$N$5:$N$7,$A6,Lists!$O$5:$O$7,C$5)&gt;0,"LEAVE",IF(SUMIFS(Time_Entries!$J$5:$J$332,Time_Entries!$B$5:$B$332,$A6,Time_Entries!$E$5:$E$332,C$5,Time_Entries!$N$5:$N$332,"")=0,"MISSING",SUMIFS(Time_Entries!$J$5:$J$332,Time_Entries!$B$5:$B$332,$A6,Time_Entries!$E$5:$E$332,C$5,Time_Entries!$N$5:$N$332,"")))</f>
        <v>8</v>
      </c>
      <c r="D6" s="22">
        <f>IF(COUNTIFS(Lists!$N$5:$N$7,$A6,Lists!$O$5:$O$7,D$5)&gt;0,"LEAVE",IF(SUMIFS(Time_Entries!$J$5:$J$332,Time_Entries!$B$5:$B$332,$A6,Time_Entries!$E$5:$E$332,D$5,Time_Entries!$N$5:$N$332,"")=0,"MISSING",SUMIFS(Time_Entries!$J$5:$J$332,Time_Entries!$B$5:$B$332,$A6,Time_Entries!$E$5:$E$332,D$5,Time_Entries!$N$5:$N$332,"")))</f>
        <v>8</v>
      </c>
      <c r="E6" s="22">
        <f>IF(COUNTIFS(Lists!$N$5:$N$7,$A6,Lists!$O$5:$O$7,E$5)&gt;0,"LEAVE",IF(SUMIFS(Time_Entries!$J$5:$J$332,Time_Entries!$B$5:$B$332,$A6,Time_Entries!$E$5:$E$332,E$5,Time_Entries!$N$5:$N$332,"")=0,"MISSING",SUMIFS(Time_Entries!$J$5:$J$332,Time_Entries!$B$5:$B$332,$A6,Time_Entries!$E$5:$E$332,E$5,Time_Entries!$N$5:$N$332,"")))</f>
        <v>8</v>
      </c>
      <c r="F6" s="22">
        <f>IF(COUNTIFS(Lists!$N$5:$N$7,$A6,Lists!$O$5:$O$7,F$5)&gt;0,"LEAVE",IF(SUMIFS(Time_Entries!$J$5:$J$332,Time_Entries!$B$5:$B$332,$A6,Time_Entries!$E$5:$E$332,F$5,Time_Entries!$N$5:$N$332,"")=0,"MISSING",SUMIFS(Time_Entries!$J$5:$J$332,Time_Entries!$B$5:$B$332,$A6,Time_Entries!$E$5:$E$332,F$5,Time_Entries!$N$5:$N$332,"")))</f>
        <v>8</v>
      </c>
      <c r="G6" s="22">
        <f>IF(COUNTIFS(Lists!$N$5:$N$7,$A6,Lists!$O$5:$O$7,G$5)&gt;0,"LEAVE",IF(SUMIFS(Time_Entries!$J$5:$J$332,Time_Entries!$B$5:$B$332,$A6,Time_Entries!$E$5:$E$332,G$5,Time_Entries!$N$5:$N$332,"")=0,"MISSING",SUMIFS(Time_Entries!$J$5:$J$332,Time_Entries!$B$5:$B$332,$A6,Time_Entries!$E$5:$E$332,G$5,Time_Entries!$N$5:$N$332,"")))</f>
        <v>8</v>
      </c>
      <c r="H6" s="22">
        <f>IF(COUNTIFS(Lists!$N$5:$N$7,$A6,Lists!$O$5:$O$7,H$5)&gt;0,"LEAVE",IF(SUMIFS(Time_Entries!$J$5:$J$332,Time_Entries!$B$5:$B$332,$A6,Time_Entries!$E$5:$E$332,H$5,Time_Entries!$N$5:$N$332,"")=0,"MISSING",SUMIFS(Time_Entries!$J$5:$J$332,Time_Entries!$B$5:$B$332,$A6,Time_Entries!$E$5:$E$332,H$5,Time_Entries!$N$5:$N$332,"")))</f>
        <v>8</v>
      </c>
      <c r="I6" s="22">
        <f>IF(COUNTIFS(Lists!$N$5:$N$7,$A6,Lists!$O$5:$O$7,I$5)&gt;0,"LEAVE",IF(SUMIFS(Time_Entries!$J$5:$J$332,Time_Entries!$B$5:$B$332,$A6,Time_Entries!$E$5:$E$332,I$5,Time_Entries!$N$5:$N$332,"")=0,"MISSING",SUMIFS(Time_Entries!$J$5:$J$332,Time_Entries!$B$5:$B$332,$A6,Time_Entries!$E$5:$E$332,I$5,Time_Entries!$N$5:$N$332,"")))</f>
        <v>8</v>
      </c>
      <c r="J6" s="22">
        <f>IF(COUNTIFS(Lists!$N$5:$N$7,$A6,Lists!$O$5:$O$7,J$5)&gt;0,"LEAVE",IF(SUMIFS(Time_Entries!$J$5:$J$332,Time_Entries!$B$5:$B$332,$A6,Time_Entries!$E$5:$E$332,J$5,Time_Entries!$N$5:$N$332,"")=0,"MISSING",SUMIFS(Time_Entries!$J$5:$J$332,Time_Entries!$B$5:$B$332,$A6,Time_Entries!$E$5:$E$332,J$5,Time_Entries!$N$5:$N$332,"")))</f>
        <v>8</v>
      </c>
      <c r="K6" s="22">
        <f>IF(COUNTIFS(Lists!$N$5:$N$7,$A6,Lists!$O$5:$O$7,K$5)&gt;0,"LEAVE",IF(SUMIFS(Time_Entries!$J$5:$J$332,Time_Entries!$B$5:$B$332,$A6,Time_Entries!$E$5:$E$332,K$5,Time_Entries!$N$5:$N$332,"")=0,"MISSING",SUMIFS(Time_Entries!$J$5:$J$332,Time_Entries!$B$5:$B$332,$A6,Time_Entries!$E$5:$E$332,K$5,Time_Entries!$N$5:$N$332,"")))</f>
        <v>8</v>
      </c>
      <c r="L6" s="22">
        <f>IF(COUNTIFS(Lists!$N$5:$N$7,$A6,Lists!$O$5:$O$7,L$5)&gt;0,"LEAVE",IF(SUMIFS(Time_Entries!$J$5:$J$332,Time_Entries!$B$5:$B$332,$A6,Time_Entries!$E$5:$E$332,L$5,Time_Entries!$N$5:$N$332,"")=0,"MISSING",SUMIFS(Time_Entries!$J$5:$J$332,Time_Entries!$B$5:$B$332,$A6,Time_Entries!$E$5:$E$332,L$5,Time_Entries!$N$5:$N$332,"")))</f>
        <v>8</v>
      </c>
      <c r="M6" s="23">
        <f t="shared" ref="M6:M35" si="0">SUM(C6:L6)</f>
        <v>80</v>
      </c>
      <c r="N6" s="23">
        <f t="shared" ref="N6:N35" si="1">8*(10-COUNTIF(C6:L6,"LEAVE"))</f>
        <v>80</v>
      </c>
      <c r="O6" s="18">
        <f t="shared" ref="O6:O35" si="2">M6-N6</f>
        <v>0</v>
      </c>
    </row>
    <row r="7" spans="1:16" x14ac:dyDescent="0.25">
      <c r="A7" s="7" t="s">
        <v>58</v>
      </c>
      <c r="B7" s="8" t="str">
        <f>Lists!B6</f>
        <v>Jordan Brennan</v>
      </c>
      <c r="C7" s="22">
        <f>IF(COUNTIFS(Lists!$N$5:$N$7,$A7,Lists!$O$5:$O$7,C$5)&gt;0,"LEAVE",IF(SUMIFS(Time_Entries!$J$5:$J$332,Time_Entries!$B$5:$B$332,$A7,Time_Entries!$E$5:$E$332,C$5,Time_Entries!$N$5:$N$332,"")=0,"MISSING",SUMIFS(Time_Entries!$J$5:$J$332,Time_Entries!$B$5:$B$332,$A7,Time_Entries!$E$5:$E$332,C$5,Time_Entries!$N$5:$N$332,"")))</f>
        <v>8</v>
      </c>
      <c r="D7" s="22" t="str">
        <f>IF(COUNTIFS(Lists!$N$5:$N$7,$A7,Lists!$O$5:$O$7,D$5)&gt;0,"LEAVE",IF(SUMIFS(Time_Entries!$J$5:$J$332,Time_Entries!$B$5:$B$332,$A7,Time_Entries!$E$5:$E$332,D$5,Time_Entries!$N$5:$N$332,"")=0,"MISSING",SUMIFS(Time_Entries!$J$5:$J$332,Time_Entries!$B$5:$B$332,$A7,Time_Entries!$E$5:$E$332,D$5,Time_Entries!$N$5:$N$332,"")))</f>
        <v>MISSING</v>
      </c>
      <c r="E7" s="22">
        <f>IF(COUNTIFS(Lists!$N$5:$N$7,$A7,Lists!$O$5:$O$7,E$5)&gt;0,"LEAVE",IF(SUMIFS(Time_Entries!$J$5:$J$332,Time_Entries!$B$5:$B$332,$A7,Time_Entries!$E$5:$E$332,E$5,Time_Entries!$N$5:$N$332,"")=0,"MISSING",SUMIFS(Time_Entries!$J$5:$J$332,Time_Entries!$B$5:$B$332,$A7,Time_Entries!$E$5:$E$332,E$5,Time_Entries!$N$5:$N$332,"")))</f>
        <v>8</v>
      </c>
      <c r="F7" s="22">
        <f>IF(COUNTIFS(Lists!$N$5:$N$7,$A7,Lists!$O$5:$O$7,F$5)&gt;0,"LEAVE",IF(SUMIFS(Time_Entries!$J$5:$J$332,Time_Entries!$B$5:$B$332,$A7,Time_Entries!$E$5:$E$332,F$5,Time_Entries!$N$5:$N$332,"")=0,"MISSING",SUMIFS(Time_Entries!$J$5:$J$332,Time_Entries!$B$5:$B$332,$A7,Time_Entries!$E$5:$E$332,F$5,Time_Entries!$N$5:$N$332,"")))</f>
        <v>8</v>
      </c>
      <c r="G7" s="22">
        <f>IF(COUNTIFS(Lists!$N$5:$N$7,$A7,Lists!$O$5:$O$7,G$5)&gt;0,"LEAVE",IF(SUMIFS(Time_Entries!$J$5:$J$332,Time_Entries!$B$5:$B$332,$A7,Time_Entries!$E$5:$E$332,G$5,Time_Entries!$N$5:$N$332,"")=0,"MISSING",SUMIFS(Time_Entries!$J$5:$J$332,Time_Entries!$B$5:$B$332,$A7,Time_Entries!$E$5:$E$332,G$5,Time_Entries!$N$5:$N$332,"")))</f>
        <v>8</v>
      </c>
      <c r="H7" s="22">
        <f>IF(COUNTIFS(Lists!$N$5:$N$7,$A7,Lists!$O$5:$O$7,H$5)&gt;0,"LEAVE",IF(SUMIFS(Time_Entries!$J$5:$J$332,Time_Entries!$B$5:$B$332,$A7,Time_Entries!$E$5:$E$332,H$5,Time_Entries!$N$5:$N$332,"")=0,"MISSING",SUMIFS(Time_Entries!$J$5:$J$332,Time_Entries!$B$5:$B$332,$A7,Time_Entries!$E$5:$E$332,H$5,Time_Entries!$N$5:$N$332,"")))</f>
        <v>8</v>
      </c>
      <c r="I7" s="22">
        <f>IF(COUNTIFS(Lists!$N$5:$N$7,$A7,Lists!$O$5:$O$7,I$5)&gt;0,"LEAVE",IF(SUMIFS(Time_Entries!$J$5:$J$332,Time_Entries!$B$5:$B$332,$A7,Time_Entries!$E$5:$E$332,I$5,Time_Entries!$N$5:$N$332,"")=0,"MISSING",SUMIFS(Time_Entries!$J$5:$J$332,Time_Entries!$B$5:$B$332,$A7,Time_Entries!$E$5:$E$332,I$5,Time_Entries!$N$5:$N$332,"")))</f>
        <v>8</v>
      </c>
      <c r="J7" s="22">
        <f>IF(COUNTIFS(Lists!$N$5:$N$7,$A7,Lists!$O$5:$O$7,J$5)&gt;0,"LEAVE",IF(SUMIFS(Time_Entries!$J$5:$J$332,Time_Entries!$B$5:$B$332,$A7,Time_Entries!$E$5:$E$332,J$5,Time_Entries!$N$5:$N$332,"")=0,"MISSING",SUMIFS(Time_Entries!$J$5:$J$332,Time_Entries!$B$5:$B$332,$A7,Time_Entries!$E$5:$E$332,J$5,Time_Entries!$N$5:$N$332,"")))</f>
        <v>8</v>
      </c>
      <c r="K7" s="22">
        <f>IF(COUNTIFS(Lists!$N$5:$N$7,$A7,Lists!$O$5:$O$7,K$5)&gt;0,"LEAVE",IF(SUMIFS(Time_Entries!$J$5:$J$332,Time_Entries!$B$5:$B$332,$A7,Time_Entries!$E$5:$E$332,K$5,Time_Entries!$N$5:$N$332,"")=0,"MISSING",SUMIFS(Time_Entries!$J$5:$J$332,Time_Entries!$B$5:$B$332,$A7,Time_Entries!$E$5:$E$332,K$5,Time_Entries!$N$5:$N$332,"")))</f>
        <v>8</v>
      </c>
      <c r="L7" s="22">
        <f>IF(COUNTIFS(Lists!$N$5:$N$7,$A7,Lists!$O$5:$O$7,L$5)&gt;0,"LEAVE",IF(SUMIFS(Time_Entries!$J$5:$J$332,Time_Entries!$B$5:$B$332,$A7,Time_Entries!$E$5:$E$332,L$5,Time_Entries!$N$5:$N$332,"")=0,"MISSING",SUMIFS(Time_Entries!$J$5:$J$332,Time_Entries!$B$5:$B$332,$A7,Time_Entries!$E$5:$E$332,L$5,Time_Entries!$N$5:$N$332,"")))</f>
        <v>8</v>
      </c>
      <c r="M7" s="23">
        <f t="shared" si="0"/>
        <v>72</v>
      </c>
      <c r="N7" s="23">
        <f t="shared" si="1"/>
        <v>80</v>
      </c>
      <c r="O7" s="18">
        <f t="shared" si="2"/>
        <v>-8</v>
      </c>
    </row>
    <row r="8" spans="1:16" x14ac:dyDescent="0.25">
      <c r="A8" s="7" t="s">
        <v>72</v>
      </c>
      <c r="B8" s="8" t="str">
        <f>Lists!B7</f>
        <v>Taylor Calder</v>
      </c>
      <c r="C8" s="22">
        <f>IF(COUNTIFS(Lists!$N$5:$N$7,$A8,Lists!$O$5:$O$7,C$5)&gt;0,"LEAVE",IF(SUMIFS(Time_Entries!$J$5:$J$332,Time_Entries!$B$5:$B$332,$A8,Time_Entries!$E$5:$E$332,C$5,Time_Entries!$N$5:$N$332,"")=0,"MISSING",SUMIFS(Time_Entries!$J$5:$J$332,Time_Entries!$B$5:$B$332,$A8,Time_Entries!$E$5:$E$332,C$5,Time_Entries!$N$5:$N$332,"")))</f>
        <v>8</v>
      </c>
      <c r="D8" s="22">
        <f>IF(COUNTIFS(Lists!$N$5:$N$7,$A8,Lists!$O$5:$O$7,D$5)&gt;0,"LEAVE",IF(SUMIFS(Time_Entries!$J$5:$J$332,Time_Entries!$B$5:$B$332,$A8,Time_Entries!$E$5:$E$332,D$5,Time_Entries!$N$5:$N$332,"")=0,"MISSING",SUMIFS(Time_Entries!$J$5:$J$332,Time_Entries!$B$5:$B$332,$A8,Time_Entries!$E$5:$E$332,D$5,Time_Entries!$N$5:$N$332,"")))</f>
        <v>8</v>
      </c>
      <c r="E8" s="22">
        <f>IF(COUNTIFS(Lists!$N$5:$N$7,$A8,Lists!$O$5:$O$7,E$5)&gt;0,"LEAVE",IF(SUMIFS(Time_Entries!$J$5:$J$332,Time_Entries!$B$5:$B$332,$A8,Time_Entries!$E$5:$E$332,E$5,Time_Entries!$N$5:$N$332,"")=0,"MISSING",SUMIFS(Time_Entries!$J$5:$J$332,Time_Entries!$B$5:$B$332,$A8,Time_Entries!$E$5:$E$332,E$5,Time_Entries!$N$5:$N$332,"")))</f>
        <v>8</v>
      </c>
      <c r="F8" s="22">
        <f>IF(COUNTIFS(Lists!$N$5:$N$7,$A8,Lists!$O$5:$O$7,F$5)&gt;0,"LEAVE",IF(SUMIFS(Time_Entries!$J$5:$J$332,Time_Entries!$B$5:$B$332,$A8,Time_Entries!$E$5:$E$332,F$5,Time_Entries!$N$5:$N$332,"")=0,"MISSING",SUMIFS(Time_Entries!$J$5:$J$332,Time_Entries!$B$5:$B$332,$A8,Time_Entries!$E$5:$E$332,F$5,Time_Entries!$N$5:$N$332,"")))</f>
        <v>8</v>
      </c>
      <c r="G8" s="22">
        <f>IF(COUNTIFS(Lists!$N$5:$N$7,$A8,Lists!$O$5:$O$7,G$5)&gt;0,"LEAVE",IF(SUMIFS(Time_Entries!$J$5:$J$332,Time_Entries!$B$5:$B$332,$A8,Time_Entries!$E$5:$E$332,G$5,Time_Entries!$N$5:$N$332,"")=0,"MISSING",SUMIFS(Time_Entries!$J$5:$J$332,Time_Entries!$B$5:$B$332,$A8,Time_Entries!$E$5:$E$332,G$5,Time_Entries!$N$5:$N$332,"")))</f>
        <v>8</v>
      </c>
      <c r="H8" s="22">
        <f>IF(COUNTIFS(Lists!$N$5:$N$7,$A8,Lists!$O$5:$O$7,H$5)&gt;0,"LEAVE",IF(SUMIFS(Time_Entries!$J$5:$J$332,Time_Entries!$B$5:$B$332,$A8,Time_Entries!$E$5:$E$332,H$5,Time_Entries!$N$5:$N$332,"")=0,"MISSING",SUMIFS(Time_Entries!$J$5:$J$332,Time_Entries!$B$5:$B$332,$A8,Time_Entries!$E$5:$E$332,H$5,Time_Entries!$N$5:$N$332,"")))</f>
        <v>8</v>
      </c>
      <c r="I8" s="22">
        <f>IF(COUNTIFS(Lists!$N$5:$N$7,$A8,Lists!$O$5:$O$7,I$5)&gt;0,"LEAVE",IF(SUMIFS(Time_Entries!$J$5:$J$332,Time_Entries!$B$5:$B$332,$A8,Time_Entries!$E$5:$E$332,I$5,Time_Entries!$N$5:$N$332,"")=0,"MISSING",SUMIFS(Time_Entries!$J$5:$J$332,Time_Entries!$B$5:$B$332,$A8,Time_Entries!$E$5:$E$332,I$5,Time_Entries!$N$5:$N$332,"")))</f>
        <v>8</v>
      </c>
      <c r="J8" s="22">
        <f>IF(COUNTIFS(Lists!$N$5:$N$7,$A8,Lists!$O$5:$O$7,J$5)&gt;0,"LEAVE",IF(SUMIFS(Time_Entries!$J$5:$J$332,Time_Entries!$B$5:$B$332,$A8,Time_Entries!$E$5:$E$332,J$5,Time_Entries!$N$5:$N$332,"")=0,"MISSING",SUMIFS(Time_Entries!$J$5:$J$332,Time_Entries!$B$5:$B$332,$A8,Time_Entries!$E$5:$E$332,J$5,Time_Entries!$N$5:$N$332,"")))</f>
        <v>8</v>
      </c>
      <c r="K8" s="22">
        <f>IF(COUNTIFS(Lists!$N$5:$N$7,$A8,Lists!$O$5:$O$7,K$5)&gt;0,"LEAVE",IF(SUMIFS(Time_Entries!$J$5:$J$332,Time_Entries!$B$5:$B$332,$A8,Time_Entries!$E$5:$E$332,K$5,Time_Entries!$N$5:$N$332,"")=0,"MISSING",SUMIFS(Time_Entries!$J$5:$J$332,Time_Entries!$B$5:$B$332,$A8,Time_Entries!$E$5:$E$332,K$5,Time_Entries!$N$5:$N$332,"")))</f>
        <v>8</v>
      </c>
      <c r="L8" s="22">
        <f>IF(COUNTIFS(Lists!$N$5:$N$7,$A8,Lists!$O$5:$O$7,L$5)&gt;0,"LEAVE",IF(SUMIFS(Time_Entries!$J$5:$J$332,Time_Entries!$B$5:$B$332,$A8,Time_Entries!$E$5:$E$332,L$5,Time_Entries!$N$5:$N$332,"")=0,"MISSING",SUMIFS(Time_Entries!$J$5:$J$332,Time_Entries!$B$5:$B$332,$A8,Time_Entries!$E$5:$E$332,L$5,Time_Entries!$N$5:$N$332,"")))</f>
        <v>8</v>
      </c>
      <c r="M8" s="23">
        <f t="shared" si="0"/>
        <v>80</v>
      </c>
      <c r="N8" s="23">
        <f t="shared" si="1"/>
        <v>80</v>
      </c>
      <c r="O8" s="18">
        <f t="shared" si="2"/>
        <v>0</v>
      </c>
    </row>
    <row r="9" spans="1:16" x14ac:dyDescent="0.25">
      <c r="A9" s="7" t="s">
        <v>87</v>
      </c>
      <c r="B9" s="8" t="str">
        <f>Lists!B8</f>
        <v>Morgan Dalton</v>
      </c>
      <c r="C9" s="22">
        <f>IF(COUNTIFS(Lists!$N$5:$N$7,$A9,Lists!$O$5:$O$7,C$5)&gt;0,"LEAVE",IF(SUMIFS(Time_Entries!$J$5:$J$332,Time_Entries!$B$5:$B$332,$A9,Time_Entries!$E$5:$E$332,C$5,Time_Entries!$N$5:$N$332,"")=0,"MISSING",SUMIFS(Time_Entries!$J$5:$J$332,Time_Entries!$B$5:$B$332,$A9,Time_Entries!$E$5:$E$332,C$5,Time_Entries!$N$5:$N$332,"")))</f>
        <v>8</v>
      </c>
      <c r="D9" s="22">
        <f>IF(COUNTIFS(Lists!$N$5:$N$7,$A9,Lists!$O$5:$O$7,D$5)&gt;0,"LEAVE",IF(SUMIFS(Time_Entries!$J$5:$J$332,Time_Entries!$B$5:$B$332,$A9,Time_Entries!$E$5:$E$332,D$5,Time_Entries!$N$5:$N$332,"")=0,"MISSING",SUMIFS(Time_Entries!$J$5:$J$332,Time_Entries!$B$5:$B$332,$A9,Time_Entries!$E$5:$E$332,D$5,Time_Entries!$N$5:$N$332,"")))</f>
        <v>8</v>
      </c>
      <c r="E9" s="22">
        <f>IF(COUNTIFS(Lists!$N$5:$N$7,$A9,Lists!$O$5:$O$7,E$5)&gt;0,"LEAVE",IF(SUMIFS(Time_Entries!$J$5:$J$332,Time_Entries!$B$5:$B$332,$A9,Time_Entries!$E$5:$E$332,E$5,Time_Entries!$N$5:$N$332,"")=0,"MISSING",SUMIFS(Time_Entries!$J$5:$J$332,Time_Entries!$B$5:$B$332,$A9,Time_Entries!$E$5:$E$332,E$5,Time_Entries!$N$5:$N$332,"")))</f>
        <v>8</v>
      </c>
      <c r="F9" s="22">
        <f>IF(COUNTIFS(Lists!$N$5:$N$7,$A9,Lists!$O$5:$O$7,F$5)&gt;0,"LEAVE",IF(SUMIFS(Time_Entries!$J$5:$J$332,Time_Entries!$B$5:$B$332,$A9,Time_Entries!$E$5:$E$332,F$5,Time_Entries!$N$5:$N$332,"")=0,"MISSING",SUMIFS(Time_Entries!$J$5:$J$332,Time_Entries!$B$5:$B$332,$A9,Time_Entries!$E$5:$E$332,F$5,Time_Entries!$N$5:$N$332,"")))</f>
        <v>8</v>
      </c>
      <c r="G9" s="22">
        <f>IF(COUNTIFS(Lists!$N$5:$N$7,$A9,Lists!$O$5:$O$7,G$5)&gt;0,"LEAVE",IF(SUMIFS(Time_Entries!$J$5:$J$332,Time_Entries!$B$5:$B$332,$A9,Time_Entries!$E$5:$E$332,G$5,Time_Entries!$N$5:$N$332,"")=0,"MISSING",SUMIFS(Time_Entries!$J$5:$J$332,Time_Entries!$B$5:$B$332,$A9,Time_Entries!$E$5:$E$332,G$5,Time_Entries!$N$5:$N$332,"")))</f>
        <v>8</v>
      </c>
      <c r="H9" s="22">
        <f>IF(COUNTIFS(Lists!$N$5:$N$7,$A9,Lists!$O$5:$O$7,H$5)&gt;0,"LEAVE",IF(SUMIFS(Time_Entries!$J$5:$J$332,Time_Entries!$B$5:$B$332,$A9,Time_Entries!$E$5:$E$332,H$5,Time_Entries!$N$5:$N$332,"")=0,"MISSING",SUMIFS(Time_Entries!$J$5:$J$332,Time_Entries!$B$5:$B$332,$A9,Time_Entries!$E$5:$E$332,H$5,Time_Entries!$N$5:$N$332,"")))</f>
        <v>8</v>
      </c>
      <c r="I9" s="22">
        <f>IF(COUNTIFS(Lists!$N$5:$N$7,$A9,Lists!$O$5:$O$7,I$5)&gt;0,"LEAVE",IF(SUMIFS(Time_Entries!$J$5:$J$332,Time_Entries!$B$5:$B$332,$A9,Time_Entries!$E$5:$E$332,I$5,Time_Entries!$N$5:$N$332,"")=0,"MISSING",SUMIFS(Time_Entries!$J$5:$J$332,Time_Entries!$B$5:$B$332,$A9,Time_Entries!$E$5:$E$332,I$5,Time_Entries!$N$5:$N$332,"")))</f>
        <v>8</v>
      </c>
      <c r="J9" s="22">
        <f>IF(COUNTIFS(Lists!$N$5:$N$7,$A9,Lists!$O$5:$O$7,J$5)&gt;0,"LEAVE",IF(SUMIFS(Time_Entries!$J$5:$J$332,Time_Entries!$B$5:$B$332,$A9,Time_Entries!$E$5:$E$332,J$5,Time_Entries!$N$5:$N$332,"")=0,"MISSING",SUMIFS(Time_Entries!$J$5:$J$332,Time_Entries!$B$5:$B$332,$A9,Time_Entries!$E$5:$E$332,J$5,Time_Entries!$N$5:$N$332,"")))</f>
        <v>8</v>
      </c>
      <c r="K9" s="22">
        <f>IF(COUNTIFS(Lists!$N$5:$N$7,$A9,Lists!$O$5:$O$7,K$5)&gt;0,"LEAVE",IF(SUMIFS(Time_Entries!$J$5:$J$332,Time_Entries!$B$5:$B$332,$A9,Time_Entries!$E$5:$E$332,K$5,Time_Entries!$N$5:$N$332,"")=0,"MISSING",SUMIFS(Time_Entries!$J$5:$J$332,Time_Entries!$B$5:$B$332,$A9,Time_Entries!$E$5:$E$332,K$5,Time_Entries!$N$5:$N$332,"")))</f>
        <v>8</v>
      </c>
      <c r="L9" s="22">
        <f>IF(COUNTIFS(Lists!$N$5:$N$7,$A9,Lists!$O$5:$O$7,L$5)&gt;0,"LEAVE",IF(SUMIFS(Time_Entries!$J$5:$J$332,Time_Entries!$B$5:$B$332,$A9,Time_Entries!$E$5:$E$332,L$5,Time_Entries!$N$5:$N$332,"")=0,"MISSING",SUMIFS(Time_Entries!$J$5:$J$332,Time_Entries!$B$5:$B$332,$A9,Time_Entries!$E$5:$E$332,L$5,Time_Entries!$N$5:$N$332,"")))</f>
        <v>8</v>
      </c>
      <c r="M9" s="23">
        <f t="shared" si="0"/>
        <v>80</v>
      </c>
      <c r="N9" s="23">
        <f t="shared" si="1"/>
        <v>80</v>
      </c>
      <c r="O9" s="18">
        <f t="shared" si="2"/>
        <v>0</v>
      </c>
    </row>
    <row r="10" spans="1:16" x14ac:dyDescent="0.25">
      <c r="A10" s="7" t="s">
        <v>99</v>
      </c>
      <c r="B10" s="8" t="str">
        <f>Lists!B9</f>
        <v>Riley Easton</v>
      </c>
      <c r="C10" s="22">
        <f>IF(COUNTIFS(Lists!$N$5:$N$7,$A10,Lists!$O$5:$O$7,C$5)&gt;0,"LEAVE",IF(SUMIFS(Time_Entries!$J$5:$J$332,Time_Entries!$B$5:$B$332,$A10,Time_Entries!$E$5:$E$332,C$5,Time_Entries!$N$5:$N$332,"")=0,"MISSING",SUMIFS(Time_Entries!$J$5:$J$332,Time_Entries!$B$5:$B$332,$A10,Time_Entries!$E$5:$E$332,C$5,Time_Entries!$N$5:$N$332,"")))</f>
        <v>8</v>
      </c>
      <c r="D10" s="22">
        <f>IF(COUNTIFS(Lists!$N$5:$N$7,$A10,Lists!$O$5:$O$7,D$5)&gt;0,"LEAVE",IF(SUMIFS(Time_Entries!$J$5:$J$332,Time_Entries!$B$5:$B$332,$A10,Time_Entries!$E$5:$E$332,D$5,Time_Entries!$N$5:$N$332,"")=0,"MISSING",SUMIFS(Time_Entries!$J$5:$J$332,Time_Entries!$B$5:$B$332,$A10,Time_Entries!$E$5:$E$332,D$5,Time_Entries!$N$5:$N$332,"")))</f>
        <v>8</v>
      </c>
      <c r="E10" s="22" t="str">
        <f>IF(COUNTIFS(Lists!$N$5:$N$7,$A10,Lists!$O$5:$O$7,E$5)&gt;0,"LEAVE",IF(SUMIFS(Time_Entries!$J$5:$J$332,Time_Entries!$B$5:$B$332,$A10,Time_Entries!$E$5:$E$332,E$5,Time_Entries!$N$5:$N$332,"")=0,"MISSING",SUMIFS(Time_Entries!$J$5:$J$332,Time_Entries!$B$5:$B$332,$A10,Time_Entries!$E$5:$E$332,E$5,Time_Entries!$N$5:$N$332,"")))</f>
        <v>LEAVE</v>
      </c>
      <c r="F10" s="22">
        <f>IF(COUNTIFS(Lists!$N$5:$N$7,$A10,Lists!$O$5:$O$7,F$5)&gt;0,"LEAVE",IF(SUMIFS(Time_Entries!$J$5:$J$332,Time_Entries!$B$5:$B$332,$A10,Time_Entries!$E$5:$E$332,F$5,Time_Entries!$N$5:$N$332,"")=0,"MISSING",SUMIFS(Time_Entries!$J$5:$J$332,Time_Entries!$B$5:$B$332,$A10,Time_Entries!$E$5:$E$332,F$5,Time_Entries!$N$5:$N$332,"")))</f>
        <v>8</v>
      </c>
      <c r="G10" s="22">
        <f>IF(COUNTIFS(Lists!$N$5:$N$7,$A10,Lists!$O$5:$O$7,G$5)&gt;0,"LEAVE",IF(SUMIFS(Time_Entries!$J$5:$J$332,Time_Entries!$B$5:$B$332,$A10,Time_Entries!$E$5:$E$332,G$5,Time_Entries!$N$5:$N$332,"")=0,"MISSING",SUMIFS(Time_Entries!$J$5:$J$332,Time_Entries!$B$5:$B$332,$A10,Time_Entries!$E$5:$E$332,G$5,Time_Entries!$N$5:$N$332,"")))</f>
        <v>8</v>
      </c>
      <c r="H10" s="22">
        <f>IF(COUNTIFS(Lists!$N$5:$N$7,$A10,Lists!$O$5:$O$7,H$5)&gt;0,"LEAVE",IF(SUMIFS(Time_Entries!$J$5:$J$332,Time_Entries!$B$5:$B$332,$A10,Time_Entries!$E$5:$E$332,H$5,Time_Entries!$N$5:$N$332,"")=0,"MISSING",SUMIFS(Time_Entries!$J$5:$J$332,Time_Entries!$B$5:$B$332,$A10,Time_Entries!$E$5:$E$332,H$5,Time_Entries!$N$5:$N$332,"")))</f>
        <v>8</v>
      </c>
      <c r="I10" s="22">
        <f>IF(COUNTIFS(Lists!$N$5:$N$7,$A10,Lists!$O$5:$O$7,I$5)&gt;0,"LEAVE",IF(SUMIFS(Time_Entries!$J$5:$J$332,Time_Entries!$B$5:$B$332,$A10,Time_Entries!$E$5:$E$332,I$5,Time_Entries!$N$5:$N$332,"")=0,"MISSING",SUMIFS(Time_Entries!$J$5:$J$332,Time_Entries!$B$5:$B$332,$A10,Time_Entries!$E$5:$E$332,I$5,Time_Entries!$N$5:$N$332,"")))</f>
        <v>8</v>
      </c>
      <c r="J10" s="22">
        <f>IF(COUNTIFS(Lists!$N$5:$N$7,$A10,Lists!$O$5:$O$7,J$5)&gt;0,"LEAVE",IF(SUMIFS(Time_Entries!$J$5:$J$332,Time_Entries!$B$5:$B$332,$A10,Time_Entries!$E$5:$E$332,J$5,Time_Entries!$N$5:$N$332,"")=0,"MISSING",SUMIFS(Time_Entries!$J$5:$J$332,Time_Entries!$B$5:$B$332,$A10,Time_Entries!$E$5:$E$332,J$5,Time_Entries!$N$5:$N$332,"")))</f>
        <v>8</v>
      </c>
      <c r="K10" s="22">
        <f>IF(COUNTIFS(Lists!$N$5:$N$7,$A10,Lists!$O$5:$O$7,K$5)&gt;0,"LEAVE",IF(SUMIFS(Time_Entries!$J$5:$J$332,Time_Entries!$B$5:$B$332,$A10,Time_Entries!$E$5:$E$332,K$5,Time_Entries!$N$5:$N$332,"")=0,"MISSING",SUMIFS(Time_Entries!$J$5:$J$332,Time_Entries!$B$5:$B$332,$A10,Time_Entries!$E$5:$E$332,K$5,Time_Entries!$N$5:$N$332,"")))</f>
        <v>8</v>
      </c>
      <c r="L10" s="22">
        <f>IF(COUNTIFS(Lists!$N$5:$N$7,$A10,Lists!$O$5:$O$7,L$5)&gt;0,"LEAVE",IF(SUMIFS(Time_Entries!$J$5:$J$332,Time_Entries!$B$5:$B$332,$A10,Time_Entries!$E$5:$E$332,L$5,Time_Entries!$N$5:$N$332,"")=0,"MISSING",SUMIFS(Time_Entries!$J$5:$J$332,Time_Entries!$B$5:$B$332,$A10,Time_Entries!$E$5:$E$332,L$5,Time_Entries!$N$5:$N$332,"")))</f>
        <v>8</v>
      </c>
      <c r="M10" s="23">
        <f t="shared" si="0"/>
        <v>72</v>
      </c>
      <c r="N10" s="23">
        <f t="shared" si="1"/>
        <v>72</v>
      </c>
      <c r="O10" s="18">
        <f t="shared" si="2"/>
        <v>0</v>
      </c>
    </row>
    <row r="11" spans="1:16" x14ac:dyDescent="0.25">
      <c r="A11" s="7" t="s">
        <v>110</v>
      </c>
      <c r="B11" s="8" t="str">
        <f>Lists!B10</f>
        <v>Casey Fenwick</v>
      </c>
      <c r="C11" s="22">
        <f>IF(COUNTIFS(Lists!$N$5:$N$7,$A11,Lists!$O$5:$O$7,C$5)&gt;0,"LEAVE",IF(SUMIFS(Time_Entries!$J$5:$J$332,Time_Entries!$B$5:$B$332,$A11,Time_Entries!$E$5:$E$332,C$5,Time_Entries!$N$5:$N$332,"")=0,"MISSING",SUMIFS(Time_Entries!$J$5:$J$332,Time_Entries!$B$5:$B$332,$A11,Time_Entries!$E$5:$E$332,C$5,Time_Entries!$N$5:$N$332,"")))</f>
        <v>8</v>
      </c>
      <c r="D11" s="22">
        <f>IF(COUNTIFS(Lists!$N$5:$N$7,$A11,Lists!$O$5:$O$7,D$5)&gt;0,"LEAVE",IF(SUMIFS(Time_Entries!$J$5:$J$332,Time_Entries!$B$5:$B$332,$A11,Time_Entries!$E$5:$E$332,D$5,Time_Entries!$N$5:$N$332,"")=0,"MISSING",SUMIFS(Time_Entries!$J$5:$J$332,Time_Entries!$B$5:$B$332,$A11,Time_Entries!$E$5:$E$332,D$5,Time_Entries!$N$5:$N$332,"")))</f>
        <v>8</v>
      </c>
      <c r="E11" s="22">
        <f>IF(COUNTIFS(Lists!$N$5:$N$7,$A11,Lists!$O$5:$O$7,E$5)&gt;0,"LEAVE",IF(SUMIFS(Time_Entries!$J$5:$J$332,Time_Entries!$B$5:$B$332,$A11,Time_Entries!$E$5:$E$332,E$5,Time_Entries!$N$5:$N$332,"")=0,"MISSING",SUMIFS(Time_Entries!$J$5:$J$332,Time_Entries!$B$5:$B$332,$A11,Time_Entries!$E$5:$E$332,E$5,Time_Entries!$N$5:$N$332,"")))</f>
        <v>8</v>
      </c>
      <c r="F11" s="22">
        <f>IF(COUNTIFS(Lists!$N$5:$N$7,$A11,Lists!$O$5:$O$7,F$5)&gt;0,"LEAVE",IF(SUMIFS(Time_Entries!$J$5:$J$332,Time_Entries!$B$5:$B$332,$A11,Time_Entries!$E$5:$E$332,F$5,Time_Entries!$N$5:$N$332,"")=0,"MISSING",SUMIFS(Time_Entries!$J$5:$J$332,Time_Entries!$B$5:$B$332,$A11,Time_Entries!$E$5:$E$332,F$5,Time_Entries!$N$5:$N$332,"")))</f>
        <v>8</v>
      </c>
      <c r="G11" s="22">
        <f>IF(COUNTIFS(Lists!$N$5:$N$7,$A11,Lists!$O$5:$O$7,G$5)&gt;0,"LEAVE",IF(SUMIFS(Time_Entries!$J$5:$J$332,Time_Entries!$B$5:$B$332,$A11,Time_Entries!$E$5:$E$332,G$5,Time_Entries!$N$5:$N$332,"")=0,"MISSING",SUMIFS(Time_Entries!$J$5:$J$332,Time_Entries!$B$5:$B$332,$A11,Time_Entries!$E$5:$E$332,G$5,Time_Entries!$N$5:$N$332,"")))</f>
        <v>8</v>
      </c>
      <c r="H11" s="22">
        <f>IF(COUNTIFS(Lists!$N$5:$N$7,$A11,Lists!$O$5:$O$7,H$5)&gt;0,"LEAVE",IF(SUMIFS(Time_Entries!$J$5:$J$332,Time_Entries!$B$5:$B$332,$A11,Time_Entries!$E$5:$E$332,H$5,Time_Entries!$N$5:$N$332,"")=0,"MISSING",SUMIFS(Time_Entries!$J$5:$J$332,Time_Entries!$B$5:$B$332,$A11,Time_Entries!$E$5:$E$332,H$5,Time_Entries!$N$5:$N$332,"")))</f>
        <v>8</v>
      </c>
      <c r="I11" s="22">
        <f>IF(COUNTIFS(Lists!$N$5:$N$7,$A11,Lists!$O$5:$O$7,I$5)&gt;0,"LEAVE",IF(SUMIFS(Time_Entries!$J$5:$J$332,Time_Entries!$B$5:$B$332,$A11,Time_Entries!$E$5:$E$332,I$5,Time_Entries!$N$5:$N$332,"")=0,"MISSING",SUMIFS(Time_Entries!$J$5:$J$332,Time_Entries!$B$5:$B$332,$A11,Time_Entries!$E$5:$E$332,I$5,Time_Entries!$N$5:$N$332,"")))</f>
        <v>8</v>
      </c>
      <c r="J11" s="22">
        <f>IF(COUNTIFS(Lists!$N$5:$N$7,$A11,Lists!$O$5:$O$7,J$5)&gt;0,"LEAVE",IF(SUMIFS(Time_Entries!$J$5:$J$332,Time_Entries!$B$5:$B$332,$A11,Time_Entries!$E$5:$E$332,J$5,Time_Entries!$N$5:$N$332,"")=0,"MISSING",SUMIFS(Time_Entries!$J$5:$J$332,Time_Entries!$B$5:$B$332,$A11,Time_Entries!$E$5:$E$332,J$5,Time_Entries!$N$5:$N$332,"")))</f>
        <v>8</v>
      </c>
      <c r="K11" s="22">
        <f>IF(COUNTIFS(Lists!$N$5:$N$7,$A11,Lists!$O$5:$O$7,K$5)&gt;0,"LEAVE",IF(SUMIFS(Time_Entries!$J$5:$J$332,Time_Entries!$B$5:$B$332,$A11,Time_Entries!$E$5:$E$332,K$5,Time_Entries!$N$5:$N$332,"")=0,"MISSING",SUMIFS(Time_Entries!$J$5:$J$332,Time_Entries!$B$5:$B$332,$A11,Time_Entries!$E$5:$E$332,K$5,Time_Entries!$N$5:$N$332,"")))</f>
        <v>8</v>
      </c>
      <c r="L11" s="22">
        <f>IF(COUNTIFS(Lists!$N$5:$N$7,$A11,Lists!$O$5:$O$7,L$5)&gt;0,"LEAVE",IF(SUMIFS(Time_Entries!$J$5:$J$332,Time_Entries!$B$5:$B$332,$A11,Time_Entries!$E$5:$E$332,L$5,Time_Entries!$N$5:$N$332,"")=0,"MISSING",SUMIFS(Time_Entries!$J$5:$J$332,Time_Entries!$B$5:$B$332,$A11,Time_Entries!$E$5:$E$332,L$5,Time_Entries!$N$5:$N$332,"")))</f>
        <v>8</v>
      </c>
      <c r="M11" s="23">
        <f t="shared" si="0"/>
        <v>80</v>
      </c>
      <c r="N11" s="23">
        <f t="shared" si="1"/>
        <v>80</v>
      </c>
      <c r="O11" s="18">
        <f t="shared" si="2"/>
        <v>0</v>
      </c>
    </row>
    <row r="12" spans="1:16" x14ac:dyDescent="0.25">
      <c r="A12" s="7" t="s">
        <v>124</v>
      </c>
      <c r="B12" s="8" t="str">
        <f>Lists!B11</f>
        <v>Quinn Garrity</v>
      </c>
      <c r="C12" s="22">
        <f>IF(COUNTIFS(Lists!$N$5:$N$7,$A12,Lists!$O$5:$O$7,C$5)&gt;0,"LEAVE",IF(SUMIFS(Time_Entries!$J$5:$J$332,Time_Entries!$B$5:$B$332,$A12,Time_Entries!$E$5:$E$332,C$5,Time_Entries!$N$5:$N$332,"")=0,"MISSING",SUMIFS(Time_Entries!$J$5:$J$332,Time_Entries!$B$5:$B$332,$A12,Time_Entries!$E$5:$E$332,C$5,Time_Entries!$N$5:$N$332,"")))</f>
        <v>8</v>
      </c>
      <c r="D12" s="22">
        <f>IF(COUNTIFS(Lists!$N$5:$N$7,$A12,Lists!$O$5:$O$7,D$5)&gt;0,"LEAVE",IF(SUMIFS(Time_Entries!$J$5:$J$332,Time_Entries!$B$5:$B$332,$A12,Time_Entries!$E$5:$E$332,D$5,Time_Entries!$N$5:$N$332,"")=0,"MISSING",SUMIFS(Time_Entries!$J$5:$J$332,Time_Entries!$B$5:$B$332,$A12,Time_Entries!$E$5:$E$332,D$5,Time_Entries!$N$5:$N$332,"")))</f>
        <v>8</v>
      </c>
      <c r="E12" s="22">
        <f>IF(COUNTIFS(Lists!$N$5:$N$7,$A12,Lists!$O$5:$O$7,E$5)&gt;0,"LEAVE",IF(SUMIFS(Time_Entries!$J$5:$J$332,Time_Entries!$B$5:$B$332,$A12,Time_Entries!$E$5:$E$332,E$5,Time_Entries!$N$5:$N$332,"")=0,"MISSING",SUMIFS(Time_Entries!$J$5:$J$332,Time_Entries!$B$5:$B$332,$A12,Time_Entries!$E$5:$E$332,E$5,Time_Entries!$N$5:$N$332,"")))</f>
        <v>8</v>
      </c>
      <c r="F12" s="22">
        <f>IF(COUNTIFS(Lists!$N$5:$N$7,$A12,Lists!$O$5:$O$7,F$5)&gt;0,"LEAVE",IF(SUMIFS(Time_Entries!$J$5:$J$332,Time_Entries!$B$5:$B$332,$A12,Time_Entries!$E$5:$E$332,F$5,Time_Entries!$N$5:$N$332,"")=0,"MISSING",SUMIFS(Time_Entries!$J$5:$J$332,Time_Entries!$B$5:$B$332,$A12,Time_Entries!$E$5:$E$332,F$5,Time_Entries!$N$5:$N$332,"")))</f>
        <v>80</v>
      </c>
      <c r="G12" s="22">
        <f>IF(COUNTIFS(Lists!$N$5:$N$7,$A12,Lists!$O$5:$O$7,G$5)&gt;0,"LEAVE",IF(SUMIFS(Time_Entries!$J$5:$J$332,Time_Entries!$B$5:$B$332,$A12,Time_Entries!$E$5:$E$332,G$5,Time_Entries!$N$5:$N$332,"")=0,"MISSING",SUMIFS(Time_Entries!$J$5:$J$332,Time_Entries!$B$5:$B$332,$A12,Time_Entries!$E$5:$E$332,G$5,Time_Entries!$N$5:$N$332,"")))</f>
        <v>8</v>
      </c>
      <c r="H12" s="22">
        <f>IF(COUNTIFS(Lists!$N$5:$N$7,$A12,Lists!$O$5:$O$7,H$5)&gt;0,"LEAVE",IF(SUMIFS(Time_Entries!$J$5:$J$332,Time_Entries!$B$5:$B$332,$A12,Time_Entries!$E$5:$E$332,H$5,Time_Entries!$N$5:$N$332,"")=0,"MISSING",SUMIFS(Time_Entries!$J$5:$J$332,Time_Entries!$B$5:$B$332,$A12,Time_Entries!$E$5:$E$332,H$5,Time_Entries!$N$5:$N$332,"")))</f>
        <v>8</v>
      </c>
      <c r="I12" s="22">
        <f>IF(COUNTIFS(Lists!$N$5:$N$7,$A12,Lists!$O$5:$O$7,I$5)&gt;0,"LEAVE",IF(SUMIFS(Time_Entries!$J$5:$J$332,Time_Entries!$B$5:$B$332,$A12,Time_Entries!$E$5:$E$332,I$5,Time_Entries!$N$5:$N$332,"")=0,"MISSING",SUMIFS(Time_Entries!$J$5:$J$332,Time_Entries!$B$5:$B$332,$A12,Time_Entries!$E$5:$E$332,I$5,Time_Entries!$N$5:$N$332,"")))</f>
        <v>8</v>
      </c>
      <c r="J12" s="22">
        <f>IF(COUNTIFS(Lists!$N$5:$N$7,$A12,Lists!$O$5:$O$7,J$5)&gt;0,"LEAVE",IF(SUMIFS(Time_Entries!$J$5:$J$332,Time_Entries!$B$5:$B$332,$A12,Time_Entries!$E$5:$E$332,J$5,Time_Entries!$N$5:$N$332,"")=0,"MISSING",SUMIFS(Time_Entries!$J$5:$J$332,Time_Entries!$B$5:$B$332,$A12,Time_Entries!$E$5:$E$332,J$5,Time_Entries!$N$5:$N$332,"")))</f>
        <v>8</v>
      </c>
      <c r="K12" s="22">
        <f>IF(COUNTIFS(Lists!$N$5:$N$7,$A12,Lists!$O$5:$O$7,K$5)&gt;0,"LEAVE",IF(SUMIFS(Time_Entries!$J$5:$J$332,Time_Entries!$B$5:$B$332,$A12,Time_Entries!$E$5:$E$332,K$5,Time_Entries!$N$5:$N$332,"")=0,"MISSING",SUMIFS(Time_Entries!$J$5:$J$332,Time_Entries!$B$5:$B$332,$A12,Time_Entries!$E$5:$E$332,K$5,Time_Entries!$N$5:$N$332,"")))</f>
        <v>8</v>
      </c>
      <c r="L12" s="22">
        <f>IF(COUNTIFS(Lists!$N$5:$N$7,$A12,Lists!$O$5:$O$7,L$5)&gt;0,"LEAVE",IF(SUMIFS(Time_Entries!$J$5:$J$332,Time_Entries!$B$5:$B$332,$A12,Time_Entries!$E$5:$E$332,L$5,Time_Entries!$N$5:$N$332,"")=0,"MISSING",SUMIFS(Time_Entries!$J$5:$J$332,Time_Entries!$B$5:$B$332,$A12,Time_Entries!$E$5:$E$332,L$5,Time_Entries!$N$5:$N$332,"")))</f>
        <v>8</v>
      </c>
      <c r="M12" s="23">
        <f t="shared" si="0"/>
        <v>152</v>
      </c>
      <c r="N12" s="23">
        <f t="shared" si="1"/>
        <v>80</v>
      </c>
      <c r="O12" s="18">
        <f t="shared" si="2"/>
        <v>72</v>
      </c>
    </row>
    <row r="13" spans="1:16" x14ac:dyDescent="0.25">
      <c r="A13" s="7" t="s">
        <v>136</v>
      </c>
      <c r="B13" s="8" t="str">
        <f>Lists!B12</f>
        <v>Parker Holloway</v>
      </c>
      <c r="C13" s="22">
        <f>IF(COUNTIFS(Lists!$N$5:$N$7,$A13,Lists!$O$5:$O$7,C$5)&gt;0,"LEAVE",IF(SUMIFS(Time_Entries!$J$5:$J$332,Time_Entries!$B$5:$B$332,$A13,Time_Entries!$E$5:$E$332,C$5,Time_Entries!$N$5:$N$332,"")=0,"MISSING",SUMIFS(Time_Entries!$J$5:$J$332,Time_Entries!$B$5:$B$332,$A13,Time_Entries!$E$5:$E$332,C$5,Time_Entries!$N$5:$N$332,"")))</f>
        <v>8</v>
      </c>
      <c r="D13" s="22">
        <f>IF(COUNTIFS(Lists!$N$5:$N$7,$A13,Lists!$O$5:$O$7,D$5)&gt;0,"LEAVE",IF(SUMIFS(Time_Entries!$J$5:$J$332,Time_Entries!$B$5:$B$332,$A13,Time_Entries!$E$5:$E$332,D$5,Time_Entries!$N$5:$N$332,"")=0,"MISSING",SUMIFS(Time_Entries!$J$5:$J$332,Time_Entries!$B$5:$B$332,$A13,Time_Entries!$E$5:$E$332,D$5,Time_Entries!$N$5:$N$332,"")))</f>
        <v>8</v>
      </c>
      <c r="E13" s="22">
        <f>IF(COUNTIFS(Lists!$N$5:$N$7,$A13,Lists!$O$5:$O$7,E$5)&gt;0,"LEAVE",IF(SUMIFS(Time_Entries!$J$5:$J$332,Time_Entries!$B$5:$B$332,$A13,Time_Entries!$E$5:$E$332,E$5,Time_Entries!$N$5:$N$332,"")=0,"MISSING",SUMIFS(Time_Entries!$J$5:$J$332,Time_Entries!$B$5:$B$332,$A13,Time_Entries!$E$5:$E$332,E$5,Time_Entries!$N$5:$N$332,"")))</f>
        <v>8</v>
      </c>
      <c r="F13" s="22">
        <f>IF(COUNTIFS(Lists!$N$5:$N$7,$A13,Lists!$O$5:$O$7,F$5)&gt;0,"LEAVE",IF(SUMIFS(Time_Entries!$J$5:$J$332,Time_Entries!$B$5:$B$332,$A13,Time_Entries!$E$5:$E$332,F$5,Time_Entries!$N$5:$N$332,"")=0,"MISSING",SUMIFS(Time_Entries!$J$5:$J$332,Time_Entries!$B$5:$B$332,$A13,Time_Entries!$E$5:$E$332,F$5,Time_Entries!$N$5:$N$332,"")))</f>
        <v>8</v>
      </c>
      <c r="G13" s="22">
        <f>IF(COUNTIFS(Lists!$N$5:$N$7,$A13,Lists!$O$5:$O$7,G$5)&gt;0,"LEAVE",IF(SUMIFS(Time_Entries!$J$5:$J$332,Time_Entries!$B$5:$B$332,$A13,Time_Entries!$E$5:$E$332,G$5,Time_Entries!$N$5:$N$332,"")=0,"MISSING",SUMIFS(Time_Entries!$J$5:$J$332,Time_Entries!$B$5:$B$332,$A13,Time_Entries!$E$5:$E$332,G$5,Time_Entries!$N$5:$N$332,"")))</f>
        <v>8</v>
      </c>
      <c r="H13" s="22">
        <f>IF(COUNTIFS(Lists!$N$5:$N$7,$A13,Lists!$O$5:$O$7,H$5)&gt;0,"LEAVE",IF(SUMIFS(Time_Entries!$J$5:$J$332,Time_Entries!$B$5:$B$332,$A13,Time_Entries!$E$5:$E$332,H$5,Time_Entries!$N$5:$N$332,"")=0,"MISSING",SUMIFS(Time_Entries!$J$5:$J$332,Time_Entries!$B$5:$B$332,$A13,Time_Entries!$E$5:$E$332,H$5,Time_Entries!$N$5:$N$332,"")))</f>
        <v>8</v>
      </c>
      <c r="I13" s="22">
        <f>IF(COUNTIFS(Lists!$N$5:$N$7,$A13,Lists!$O$5:$O$7,I$5)&gt;0,"LEAVE",IF(SUMIFS(Time_Entries!$J$5:$J$332,Time_Entries!$B$5:$B$332,$A13,Time_Entries!$E$5:$E$332,I$5,Time_Entries!$N$5:$N$332,"")=0,"MISSING",SUMIFS(Time_Entries!$J$5:$J$332,Time_Entries!$B$5:$B$332,$A13,Time_Entries!$E$5:$E$332,I$5,Time_Entries!$N$5:$N$332,"")))</f>
        <v>8</v>
      </c>
      <c r="J13" s="22">
        <f>IF(COUNTIFS(Lists!$N$5:$N$7,$A13,Lists!$O$5:$O$7,J$5)&gt;0,"LEAVE",IF(SUMIFS(Time_Entries!$J$5:$J$332,Time_Entries!$B$5:$B$332,$A13,Time_Entries!$E$5:$E$332,J$5,Time_Entries!$N$5:$N$332,"")=0,"MISSING",SUMIFS(Time_Entries!$J$5:$J$332,Time_Entries!$B$5:$B$332,$A13,Time_Entries!$E$5:$E$332,J$5,Time_Entries!$N$5:$N$332,"")))</f>
        <v>8</v>
      </c>
      <c r="K13" s="22">
        <f>IF(COUNTIFS(Lists!$N$5:$N$7,$A13,Lists!$O$5:$O$7,K$5)&gt;0,"LEAVE",IF(SUMIFS(Time_Entries!$J$5:$J$332,Time_Entries!$B$5:$B$332,$A13,Time_Entries!$E$5:$E$332,K$5,Time_Entries!$N$5:$N$332,"")=0,"MISSING",SUMIFS(Time_Entries!$J$5:$J$332,Time_Entries!$B$5:$B$332,$A13,Time_Entries!$E$5:$E$332,K$5,Time_Entries!$N$5:$N$332,"")))</f>
        <v>8</v>
      </c>
      <c r="L13" s="22">
        <f>IF(COUNTIFS(Lists!$N$5:$N$7,$A13,Lists!$O$5:$O$7,L$5)&gt;0,"LEAVE",IF(SUMIFS(Time_Entries!$J$5:$J$332,Time_Entries!$B$5:$B$332,$A13,Time_Entries!$E$5:$E$332,L$5,Time_Entries!$N$5:$N$332,"")=0,"MISSING",SUMIFS(Time_Entries!$J$5:$J$332,Time_Entries!$B$5:$B$332,$A13,Time_Entries!$E$5:$E$332,L$5,Time_Entries!$N$5:$N$332,"")))</f>
        <v>8</v>
      </c>
      <c r="M13" s="23">
        <f t="shared" si="0"/>
        <v>80</v>
      </c>
      <c r="N13" s="23">
        <f t="shared" si="1"/>
        <v>80</v>
      </c>
      <c r="O13" s="18">
        <f t="shared" si="2"/>
        <v>0</v>
      </c>
    </row>
    <row r="14" spans="1:16" x14ac:dyDescent="0.25">
      <c r="A14" s="7" t="s">
        <v>147</v>
      </c>
      <c r="B14" s="8" t="str">
        <f>Lists!B13</f>
        <v>Rowan Ingram</v>
      </c>
      <c r="C14" s="22">
        <f>IF(COUNTIFS(Lists!$N$5:$N$7,$A14,Lists!$O$5:$O$7,C$5)&gt;0,"LEAVE",IF(SUMIFS(Time_Entries!$J$5:$J$332,Time_Entries!$B$5:$B$332,$A14,Time_Entries!$E$5:$E$332,C$5,Time_Entries!$N$5:$N$332,"")=0,"MISSING",SUMIFS(Time_Entries!$J$5:$J$332,Time_Entries!$B$5:$B$332,$A14,Time_Entries!$E$5:$E$332,C$5,Time_Entries!$N$5:$N$332,"")))</f>
        <v>8</v>
      </c>
      <c r="D14" s="22">
        <f>IF(COUNTIFS(Lists!$N$5:$N$7,$A14,Lists!$O$5:$O$7,D$5)&gt;0,"LEAVE",IF(SUMIFS(Time_Entries!$J$5:$J$332,Time_Entries!$B$5:$B$332,$A14,Time_Entries!$E$5:$E$332,D$5,Time_Entries!$N$5:$N$332,"")=0,"MISSING",SUMIFS(Time_Entries!$J$5:$J$332,Time_Entries!$B$5:$B$332,$A14,Time_Entries!$E$5:$E$332,D$5,Time_Entries!$N$5:$N$332,"")))</f>
        <v>8</v>
      </c>
      <c r="E14" s="22">
        <f>IF(COUNTIFS(Lists!$N$5:$N$7,$A14,Lists!$O$5:$O$7,E$5)&gt;0,"LEAVE",IF(SUMIFS(Time_Entries!$J$5:$J$332,Time_Entries!$B$5:$B$332,$A14,Time_Entries!$E$5:$E$332,E$5,Time_Entries!$N$5:$N$332,"")=0,"MISSING",SUMIFS(Time_Entries!$J$5:$J$332,Time_Entries!$B$5:$B$332,$A14,Time_Entries!$E$5:$E$332,E$5,Time_Entries!$N$5:$N$332,"")))</f>
        <v>8</v>
      </c>
      <c r="F14" s="22">
        <f>IF(COUNTIFS(Lists!$N$5:$N$7,$A14,Lists!$O$5:$O$7,F$5)&gt;0,"LEAVE",IF(SUMIFS(Time_Entries!$J$5:$J$332,Time_Entries!$B$5:$B$332,$A14,Time_Entries!$E$5:$E$332,F$5,Time_Entries!$N$5:$N$332,"")=0,"MISSING",SUMIFS(Time_Entries!$J$5:$J$332,Time_Entries!$B$5:$B$332,$A14,Time_Entries!$E$5:$E$332,F$5,Time_Entries!$N$5:$N$332,"")))</f>
        <v>8</v>
      </c>
      <c r="G14" s="22" t="str">
        <f>IF(COUNTIFS(Lists!$N$5:$N$7,$A14,Lists!$O$5:$O$7,G$5)&gt;0,"LEAVE",IF(SUMIFS(Time_Entries!$J$5:$J$332,Time_Entries!$B$5:$B$332,$A14,Time_Entries!$E$5:$E$332,G$5,Time_Entries!$N$5:$N$332,"")=0,"MISSING",SUMIFS(Time_Entries!$J$5:$J$332,Time_Entries!$B$5:$B$332,$A14,Time_Entries!$E$5:$E$332,G$5,Time_Entries!$N$5:$N$332,"")))</f>
        <v>MISSING</v>
      </c>
      <c r="H14" s="22">
        <f>IF(COUNTIFS(Lists!$N$5:$N$7,$A14,Lists!$O$5:$O$7,H$5)&gt;0,"LEAVE",IF(SUMIFS(Time_Entries!$J$5:$J$332,Time_Entries!$B$5:$B$332,$A14,Time_Entries!$E$5:$E$332,H$5,Time_Entries!$N$5:$N$332,"")=0,"MISSING",SUMIFS(Time_Entries!$J$5:$J$332,Time_Entries!$B$5:$B$332,$A14,Time_Entries!$E$5:$E$332,H$5,Time_Entries!$N$5:$N$332,"")))</f>
        <v>8</v>
      </c>
      <c r="I14" s="22">
        <f>IF(COUNTIFS(Lists!$N$5:$N$7,$A14,Lists!$O$5:$O$7,I$5)&gt;0,"LEAVE",IF(SUMIFS(Time_Entries!$J$5:$J$332,Time_Entries!$B$5:$B$332,$A14,Time_Entries!$E$5:$E$332,I$5,Time_Entries!$N$5:$N$332,"")=0,"MISSING",SUMIFS(Time_Entries!$J$5:$J$332,Time_Entries!$B$5:$B$332,$A14,Time_Entries!$E$5:$E$332,I$5,Time_Entries!$N$5:$N$332,"")))</f>
        <v>8</v>
      </c>
      <c r="J14" s="22">
        <f>IF(COUNTIFS(Lists!$N$5:$N$7,$A14,Lists!$O$5:$O$7,J$5)&gt;0,"LEAVE",IF(SUMIFS(Time_Entries!$J$5:$J$332,Time_Entries!$B$5:$B$332,$A14,Time_Entries!$E$5:$E$332,J$5,Time_Entries!$N$5:$N$332,"")=0,"MISSING",SUMIFS(Time_Entries!$J$5:$J$332,Time_Entries!$B$5:$B$332,$A14,Time_Entries!$E$5:$E$332,J$5,Time_Entries!$N$5:$N$332,"")))</f>
        <v>8</v>
      </c>
      <c r="K14" s="22">
        <f>IF(COUNTIFS(Lists!$N$5:$N$7,$A14,Lists!$O$5:$O$7,K$5)&gt;0,"LEAVE",IF(SUMIFS(Time_Entries!$J$5:$J$332,Time_Entries!$B$5:$B$332,$A14,Time_Entries!$E$5:$E$332,K$5,Time_Entries!$N$5:$N$332,"")=0,"MISSING",SUMIFS(Time_Entries!$J$5:$J$332,Time_Entries!$B$5:$B$332,$A14,Time_Entries!$E$5:$E$332,K$5,Time_Entries!$N$5:$N$332,"")))</f>
        <v>8</v>
      </c>
      <c r="L14" s="22">
        <f>IF(COUNTIFS(Lists!$N$5:$N$7,$A14,Lists!$O$5:$O$7,L$5)&gt;0,"LEAVE",IF(SUMIFS(Time_Entries!$J$5:$J$332,Time_Entries!$B$5:$B$332,$A14,Time_Entries!$E$5:$E$332,L$5,Time_Entries!$N$5:$N$332,"")=0,"MISSING",SUMIFS(Time_Entries!$J$5:$J$332,Time_Entries!$B$5:$B$332,$A14,Time_Entries!$E$5:$E$332,L$5,Time_Entries!$N$5:$N$332,"")))</f>
        <v>8</v>
      </c>
      <c r="M14" s="23">
        <f t="shared" si="0"/>
        <v>72</v>
      </c>
      <c r="N14" s="23">
        <f t="shared" si="1"/>
        <v>80</v>
      </c>
      <c r="O14" s="18">
        <f t="shared" si="2"/>
        <v>-8</v>
      </c>
    </row>
    <row r="15" spans="1:16" x14ac:dyDescent="0.25">
      <c r="A15" s="7" t="s">
        <v>158</v>
      </c>
      <c r="B15" s="8" t="str">
        <f>Lists!B14</f>
        <v>Sage Jarvis</v>
      </c>
      <c r="C15" s="22">
        <f>IF(COUNTIFS(Lists!$N$5:$N$7,$A15,Lists!$O$5:$O$7,C$5)&gt;0,"LEAVE",IF(SUMIFS(Time_Entries!$J$5:$J$332,Time_Entries!$B$5:$B$332,$A15,Time_Entries!$E$5:$E$332,C$5,Time_Entries!$N$5:$N$332,"")=0,"MISSING",SUMIFS(Time_Entries!$J$5:$J$332,Time_Entries!$B$5:$B$332,$A15,Time_Entries!$E$5:$E$332,C$5,Time_Entries!$N$5:$N$332,"")))</f>
        <v>8</v>
      </c>
      <c r="D15" s="22">
        <f>IF(COUNTIFS(Lists!$N$5:$N$7,$A15,Lists!$O$5:$O$7,D$5)&gt;0,"LEAVE",IF(SUMIFS(Time_Entries!$J$5:$J$332,Time_Entries!$B$5:$B$332,$A15,Time_Entries!$E$5:$E$332,D$5,Time_Entries!$N$5:$N$332,"")=0,"MISSING",SUMIFS(Time_Entries!$J$5:$J$332,Time_Entries!$B$5:$B$332,$A15,Time_Entries!$E$5:$E$332,D$5,Time_Entries!$N$5:$N$332,"")))</f>
        <v>8</v>
      </c>
      <c r="E15" s="22">
        <f>IF(COUNTIFS(Lists!$N$5:$N$7,$A15,Lists!$O$5:$O$7,E$5)&gt;0,"LEAVE",IF(SUMIFS(Time_Entries!$J$5:$J$332,Time_Entries!$B$5:$B$332,$A15,Time_Entries!$E$5:$E$332,E$5,Time_Entries!$N$5:$N$332,"")=0,"MISSING",SUMIFS(Time_Entries!$J$5:$J$332,Time_Entries!$B$5:$B$332,$A15,Time_Entries!$E$5:$E$332,E$5,Time_Entries!$N$5:$N$332,"")))</f>
        <v>8</v>
      </c>
      <c r="F15" s="22">
        <f>IF(COUNTIFS(Lists!$N$5:$N$7,$A15,Lists!$O$5:$O$7,F$5)&gt;0,"LEAVE",IF(SUMIFS(Time_Entries!$J$5:$J$332,Time_Entries!$B$5:$B$332,$A15,Time_Entries!$E$5:$E$332,F$5,Time_Entries!$N$5:$N$332,"")=0,"MISSING",SUMIFS(Time_Entries!$J$5:$J$332,Time_Entries!$B$5:$B$332,$A15,Time_Entries!$E$5:$E$332,F$5,Time_Entries!$N$5:$N$332,"")))</f>
        <v>8</v>
      </c>
      <c r="G15" s="22">
        <f>IF(COUNTIFS(Lists!$N$5:$N$7,$A15,Lists!$O$5:$O$7,G$5)&gt;0,"LEAVE",IF(SUMIFS(Time_Entries!$J$5:$J$332,Time_Entries!$B$5:$B$332,$A15,Time_Entries!$E$5:$E$332,G$5,Time_Entries!$N$5:$N$332,"")=0,"MISSING",SUMIFS(Time_Entries!$J$5:$J$332,Time_Entries!$B$5:$B$332,$A15,Time_Entries!$E$5:$E$332,G$5,Time_Entries!$N$5:$N$332,"")))</f>
        <v>8</v>
      </c>
      <c r="H15" s="22">
        <f>IF(COUNTIFS(Lists!$N$5:$N$7,$A15,Lists!$O$5:$O$7,H$5)&gt;0,"LEAVE",IF(SUMIFS(Time_Entries!$J$5:$J$332,Time_Entries!$B$5:$B$332,$A15,Time_Entries!$E$5:$E$332,H$5,Time_Entries!$N$5:$N$332,"")=0,"MISSING",SUMIFS(Time_Entries!$J$5:$J$332,Time_Entries!$B$5:$B$332,$A15,Time_Entries!$E$5:$E$332,H$5,Time_Entries!$N$5:$N$332,"")))</f>
        <v>8</v>
      </c>
      <c r="I15" s="22">
        <f>IF(COUNTIFS(Lists!$N$5:$N$7,$A15,Lists!$O$5:$O$7,I$5)&gt;0,"LEAVE",IF(SUMIFS(Time_Entries!$J$5:$J$332,Time_Entries!$B$5:$B$332,$A15,Time_Entries!$E$5:$E$332,I$5,Time_Entries!$N$5:$N$332,"")=0,"MISSING",SUMIFS(Time_Entries!$J$5:$J$332,Time_Entries!$B$5:$B$332,$A15,Time_Entries!$E$5:$E$332,I$5,Time_Entries!$N$5:$N$332,"")))</f>
        <v>8</v>
      </c>
      <c r="J15" s="22">
        <f>IF(COUNTIFS(Lists!$N$5:$N$7,$A15,Lists!$O$5:$O$7,J$5)&gt;0,"LEAVE",IF(SUMIFS(Time_Entries!$J$5:$J$332,Time_Entries!$B$5:$B$332,$A15,Time_Entries!$E$5:$E$332,J$5,Time_Entries!$N$5:$N$332,"")=0,"MISSING",SUMIFS(Time_Entries!$J$5:$J$332,Time_Entries!$B$5:$B$332,$A15,Time_Entries!$E$5:$E$332,J$5,Time_Entries!$N$5:$N$332,"")))</f>
        <v>8</v>
      </c>
      <c r="K15" s="22">
        <f>IF(COUNTIFS(Lists!$N$5:$N$7,$A15,Lists!$O$5:$O$7,K$5)&gt;0,"LEAVE",IF(SUMIFS(Time_Entries!$J$5:$J$332,Time_Entries!$B$5:$B$332,$A15,Time_Entries!$E$5:$E$332,K$5,Time_Entries!$N$5:$N$332,"")=0,"MISSING",SUMIFS(Time_Entries!$J$5:$J$332,Time_Entries!$B$5:$B$332,$A15,Time_Entries!$E$5:$E$332,K$5,Time_Entries!$N$5:$N$332,"")))</f>
        <v>8</v>
      </c>
      <c r="L15" s="22">
        <f>IF(COUNTIFS(Lists!$N$5:$N$7,$A15,Lists!$O$5:$O$7,L$5)&gt;0,"LEAVE",IF(SUMIFS(Time_Entries!$J$5:$J$332,Time_Entries!$B$5:$B$332,$A15,Time_Entries!$E$5:$E$332,L$5,Time_Entries!$N$5:$N$332,"")=0,"MISSING",SUMIFS(Time_Entries!$J$5:$J$332,Time_Entries!$B$5:$B$332,$A15,Time_Entries!$E$5:$E$332,L$5,Time_Entries!$N$5:$N$332,"")))</f>
        <v>8</v>
      </c>
      <c r="M15" s="23">
        <f t="shared" si="0"/>
        <v>80</v>
      </c>
      <c r="N15" s="23">
        <f t="shared" si="1"/>
        <v>80</v>
      </c>
      <c r="O15" s="18">
        <f t="shared" si="2"/>
        <v>0</v>
      </c>
    </row>
    <row r="16" spans="1:16" x14ac:dyDescent="0.25">
      <c r="A16" s="7" t="s">
        <v>170</v>
      </c>
      <c r="B16" s="8" t="str">
        <f>Lists!B15</f>
        <v>Devon Kessler</v>
      </c>
      <c r="C16" s="22">
        <f>IF(COUNTIFS(Lists!$N$5:$N$7,$A16,Lists!$O$5:$O$7,C$5)&gt;0,"LEAVE",IF(SUMIFS(Time_Entries!$J$5:$J$332,Time_Entries!$B$5:$B$332,$A16,Time_Entries!$E$5:$E$332,C$5,Time_Entries!$N$5:$N$332,"")=0,"MISSING",SUMIFS(Time_Entries!$J$5:$J$332,Time_Entries!$B$5:$B$332,$A16,Time_Entries!$E$5:$E$332,C$5,Time_Entries!$N$5:$N$332,"")))</f>
        <v>8</v>
      </c>
      <c r="D16" s="22">
        <f>IF(COUNTIFS(Lists!$N$5:$N$7,$A16,Lists!$O$5:$O$7,D$5)&gt;0,"LEAVE",IF(SUMIFS(Time_Entries!$J$5:$J$332,Time_Entries!$B$5:$B$332,$A16,Time_Entries!$E$5:$E$332,D$5,Time_Entries!$N$5:$N$332,"")=0,"MISSING",SUMIFS(Time_Entries!$J$5:$J$332,Time_Entries!$B$5:$B$332,$A16,Time_Entries!$E$5:$E$332,D$5,Time_Entries!$N$5:$N$332,"")))</f>
        <v>8</v>
      </c>
      <c r="E16" s="22">
        <f>IF(COUNTIFS(Lists!$N$5:$N$7,$A16,Lists!$O$5:$O$7,E$5)&gt;0,"LEAVE",IF(SUMIFS(Time_Entries!$J$5:$J$332,Time_Entries!$B$5:$B$332,$A16,Time_Entries!$E$5:$E$332,E$5,Time_Entries!$N$5:$N$332,"")=0,"MISSING",SUMIFS(Time_Entries!$J$5:$J$332,Time_Entries!$B$5:$B$332,$A16,Time_Entries!$E$5:$E$332,E$5,Time_Entries!$N$5:$N$332,"")))</f>
        <v>8</v>
      </c>
      <c r="F16" s="22">
        <f>IF(COUNTIFS(Lists!$N$5:$N$7,$A16,Lists!$O$5:$O$7,F$5)&gt;0,"LEAVE",IF(SUMIFS(Time_Entries!$J$5:$J$332,Time_Entries!$B$5:$B$332,$A16,Time_Entries!$E$5:$E$332,F$5,Time_Entries!$N$5:$N$332,"")=0,"MISSING",SUMIFS(Time_Entries!$J$5:$J$332,Time_Entries!$B$5:$B$332,$A16,Time_Entries!$E$5:$E$332,F$5,Time_Entries!$N$5:$N$332,"")))</f>
        <v>8</v>
      </c>
      <c r="G16" s="22">
        <f>IF(COUNTIFS(Lists!$N$5:$N$7,$A16,Lists!$O$5:$O$7,G$5)&gt;0,"LEAVE",IF(SUMIFS(Time_Entries!$J$5:$J$332,Time_Entries!$B$5:$B$332,$A16,Time_Entries!$E$5:$E$332,G$5,Time_Entries!$N$5:$N$332,"")=0,"MISSING",SUMIFS(Time_Entries!$J$5:$J$332,Time_Entries!$B$5:$B$332,$A16,Time_Entries!$E$5:$E$332,G$5,Time_Entries!$N$5:$N$332,"")))</f>
        <v>8</v>
      </c>
      <c r="H16" s="22">
        <f>IF(COUNTIFS(Lists!$N$5:$N$7,$A16,Lists!$O$5:$O$7,H$5)&gt;0,"LEAVE",IF(SUMIFS(Time_Entries!$J$5:$J$332,Time_Entries!$B$5:$B$332,$A16,Time_Entries!$E$5:$E$332,H$5,Time_Entries!$N$5:$N$332,"")=0,"MISSING",SUMIFS(Time_Entries!$J$5:$J$332,Time_Entries!$B$5:$B$332,$A16,Time_Entries!$E$5:$E$332,H$5,Time_Entries!$N$5:$N$332,"")))</f>
        <v>8</v>
      </c>
      <c r="I16" s="22" t="str">
        <f>IF(COUNTIFS(Lists!$N$5:$N$7,$A16,Lists!$O$5:$O$7,I$5)&gt;0,"LEAVE",IF(SUMIFS(Time_Entries!$J$5:$J$332,Time_Entries!$B$5:$B$332,$A16,Time_Entries!$E$5:$E$332,I$5,Time_Entries!$N$5:$N$332,"")=0,"MISSING",SUMIFS(Time_Entries!$J$5:$J$332,Time_Entries!$B$5:$B$332,$A16,Time_Entries!$E$5:$E$332,I$5,Time_Entries!$N$5:$N$332,"")))</f>
        <v>MISSING</v>
      </c>
      <c r="J16" s="22">
        <f>IF(COUNTIFS(Lists!$N$5:$N$7,$A16,Lists!$O$5:$O$7,J$5)&gt;0,"LEAVE",IF(SUMIFS(Time_Entries!$J$5:$J$332,Time_Entries!$B$5:$B$332,$A16,Time_Entries!$E$5:$E$332,J$5,Time_Entries!$N$5:$N$332,"")=0,"MISSING",SUMIFS(Time_Entries!$J$5:$J$332,Time_Entries!$B$5:$B$332,$A16,Time_Entries!$E$5:$E$332,J$5,Time_Entries!$N$5:$N$332,"")))</f>
        <v>8</v>
      </c>
      <c r="K16" s="22">
        <f>IF(COUNTIFS(Lists!$N$5:$N$7,$A16,Lists!$O$5:$O$7,K$5)&gt;0,"LEAVE",IF(SUMIFS(Time_Entries!$J$5:$J$332,Time_Entries!$B$5:$B$332,$A16,Time_Entries!$E$5:$E$332,K$5,Time_Entries!$N$5:$N$332,"")=0,"MISSING",SUMIFS(Time_Entries!$J$5:$J$332,Time_Entries!$B$5:$B$332,$A16,Time_Entries!$E$5:$E$332,K$5,Time_Entries!$N$5:$N$332,"")))</f>
        <v>8</v>
      </c>
      <c r="L16" s="22">
        <f>IF(COUNTIFS(Lists!$N$5:$N$7,$A16,Lists!$O$5:$O$7,L$5)&gt;0,"LEAVE",IF(SUMIFS(Time_Entries!$J$5:$J$332,Time_Entries!$B$5:$B$332,$A16,Time_Entries!$E$5:$E$332,L$5,Time_Entries!$N$5:$N$332,"")=0,"MISSING",SUMIFS(Time_Entries!$J$5:$J$332,Time_Entries!$B$5:$B$332,$A16,Time_Entries!$E$5:$E$332,L$5,Time_Entries!$N$5:$N$332,"")))</f>
        <v>8</v>
      </c>
      <c r="M16" s="23">
        <f t="shared" si="0"/>
        <v>72</v>
      </c>
      <c r="N16" s="23">
        <f t="shared" si="1"/>
        <v>80</v>
      </c>
      <c r="O16" s="18">
        <f t="shared" si="2"/>
        <v>-8</v>
      </c>
    </row>
    <row r="17" spans="1:15" x14ac:dyDescent="0.25">
      <c r="A17" s="7" t="s">
        <v>180</v>
      </c>
      <c r="B17" s="8" t="str">
        <f>Lists!B16</f>
        <v>Harper Lindqvist</v>
      </c>
      <c r="C17" s="22">
        <f>IF(COUNTIFS(Lists!$N$5:$N$7,$A17,Lists!$O$5:$O$7,C$5)&gt;0,"LEAVE",IF(SUMIFS(Time_Entries!$J$5:$J$332,Time_Entries!$B$5:$B$332,$A17,Time_Entries!$E$5:$E$332,C$5,Time_Entries!$N$5:$N$332,"")=0,"MISSING",SUMIFS(Time_Entries!$J$5:$J$332,Time_Entries!$B$5:$B$332,$A17,Time_Entries!$E$5:$E$332,C$5,Time_Entries!$N$5:$N$332,"")))</f>
        <v>8</v>
      </c>
      <c r="D17" s="22">
        <f>IF(COUNTIFS(Lists!$N$5:$N$7,$A17,Lists!$O$5:$O$7,D$5)&gt;0,"LEAVE",IF(SUMIFS(Time_Entries!$J$5:$J$332,Time_Entries!$B$5:$B$332,$A17,Time_Entries!$E$5:$E$332,D$5,Time_Entries!$N$5:$N$332,"")=0,"MISSING",SUMIFS(Time_Entries!$J$5:$J$332,Time_Entries!$B$5:$B$332,$A17,Time_Entries!$E$5:$E$332,D$5,Time_Entries!$N$5:$N$332,"")))</f>
        <v>8</v>
      </c>
      <c r="E17" s="22">
        <f>IF(COUNTIFS(Lists!$N$5:$N$7,$A17,Lists!$O$5:$O$7,E$5)&gt;0,"LEAVE",IF(SUMIFS(Time_Entries!$J$5:$J$332,Time_Entries!$B$5:$B$332,$A17,Time_Entries!$E$5:$E$332,E$5,Time_Entries!$N$5:$N$332,"")=0,"MISSING",SUMIFS(Time_Entries!$J$5:$J$332,Time_Entries!$B$5:$B$332,$A17,Time_Entries!$E$5:$E$332,E$5,Time_Entries!$N$5:$N$332,"")))</f>
        <v>8</v>
      </c>
      <c r="F17" s="22">
        <f>IF(COUNTIFS(Lists!$N$5:$N$7,$A17,Lists!$O$5:$O$7,F$5)&gt;0,"LEAVE",IF(SUMIFS(Time_Entries!$J$5:$J$332,Time_Entries!$B$5:$B$332,$A17,Time_Entries!$E$5:$E$332,F$5,Time_Entries!$N$5:$N$332,"")=0,"MISSING",SUMIFS(Time_Entries!$J$5:$J$332,Time_Entries!$B$5:$B$332,$A17,Time_Entries!$E$5:$E$332,F$5,Time_Entries!$N$5:$N$332,"")))</f>
        <v>8</v>
      </c>
      <c r="G17" s="22">
        <f>IF(COUNTIFS(Lists!$N$5:$N$7,$A17,Lists!$O$5:$O$7,G$5)&gt;0,"LEAVE",IF(SUMIFS(Time_Entries!$J$5:$J$332,Time_Entries!$B$5:$B$332,$A17,Time_Entries!$E$5:$E$332,G$5,Time_Entries!$N$5:$N$332,"")=0,"MISSING",SUMIFS(Time_Entries!$J$5:$J$332,Time_Entries!$B$5:$B$332,$A17,Time_Entries!$E$5:$E$332,G$5,Time_Entries!$N$5:$N$332,"")))</f>
        <v>8</v>
      </c>
      <c r="H17" s="22">
        <f>IF(COUNTIFS(Lists!$N$5:$N$7,$A17,Lists!$O$5:$O$7,H$5)&gt;0,"LEAVE",IF(SUMIFS(Time_Entries!$J$5:$J$332,Time_Entries!$B$5:$B$332,$A17,Time_Entries!$E$5:$E$332,H$5,Time_Entries!$N$5:$N$332,"")=0,"MISSING",SUMIFS(Time_Entries!$J$5:$J$332,Time_Entries!$B$5:$B$332,$A17,Time_Entries!$E$5:$E$332,H$5,Time_Entries!$N$5:$N$332,"")))</f>
        <v>8</v>
      </c>
      <c r="I17" s="22">
        <f>IF(COUNTIFS(Lists!$N$5:$N$7,$A17,Lists!$O$5:$O$7,I$5)&gt;0,"LEAVE",IF(SUMIFS(Time_Entries!$J$5:$J$332,Time_Entries!$B$5:$B$332,$A17,Time_Entries!$E$5:$E$332,I$5,Time_Entries!$N$5:$N$332,"")=0,"MISSING",SUMIFS(Time_Entries!$J$5:$J$332,Time_Entries!$B$5:$B$332,$A17,Time_Entries!$E$5:$E$332,I$5,Time_Entries!$N$5:$N$332,"")))</f>
        <v>8</v>
      </c>
      <c r="J17" s="22">
        <f>IF(COUNTIFS(Lists!$N$5:$N$7,$A17,Lists!$O$5:$O$7,J$5)&gt;0,"LEAVE",IF(SUMIFS(Time_Entries!$J$5:$J$332,Time_Entries!$B$5:$B$332,$A17,Time_Entries!$E$5:$E$332,J$5,Time_Entries!$N$5:$N$332,"")=0,"MISSING",SUMIFS(Time_Entries!$J$5:$J$332,Time_Entries!$B$5:$B$332,$A17,Time_Entries!$E$5:$E$332,J$5,Time_Entries!$N$5:$N$332,"")))</f>
        <v>8</v>
      </c>
      <c r="K17" s="22">
        <f>IF(COUNTIFS(Lists!$N$5:$N$7,$A17,Lists!$O$5:$O$7,K$5)&gt;0,"LEAVE",IF(SUMIFS(Time_Entries!$J$5:$J$332,Time_Entries!$B$5:$B$332,$A17,Time_Entries!$E$5:$E$332,K$5,Time_Entries!$N$5:$N$332,"")=0,"MISSING",SUMIFS(Time_Entries!$J$5:$J$332,Time_Entries!$B$5:$B$332,$A17,Time_Entries!$E$5:$E$332,K$5,Time_Entries!$N$5:$N$332,"")))</f>
        <v>8</v>
      </c>
      <c r="L17" s="22">
        <f>IF(COUNTIFS(Lists!$N$5:$N$7,$A17,Lists!$O$5:$O$7,L$5)&gt;0,"LEAVE",IF(SUMIFS(Time_Entries!$J$5:$J$332,Time_Entries!$B$5:$B$332,$A17,Time_Entries!$E$5:$E$332,L$5,Time_Entries!$N$5:$N$332,"")=0,"MISSING",SUMIFS(Time_Entries!$J$5:$J$332,Time_Entries!$B$5:$B$332,$A17,Time_Entries!$E$5:$E$332,L$5,Time_Entries!$N$5:$N$332,"")))</f>
        <v>8</v>
      </c>
      <c r="M17" s="23">
        <f t="shared" si="0"/>
        <v>80</v>
      </c>
      <c r="N17" s="23">
        <f t="shared" si="1"/>
        <v>80</v>
      </c>
      <c r="O17" s="18">
        <f t="shared" si="2"/>
        <v>0</v>
      </c>
    </row>
    <row r="18" spans="1:15" x14ac:dyDescent="0.25">
      <c r="A18" s="7" t="s">
        <v>194</v>
      </c>
      <c r="B18" s="8" t="str">
        <f>Lists!B17</f>
        <v>Emerson Mercer</v>
      </c>
      <c r="C18" s="22">
        <f>IF(COUNTIFS(Lists!$N$5:$N$7,$A18,Lists!$O$5:$O$7,C$5)&gt;0,"LEAVE",IF(SUMIFS(Time_Entries!$J$5:$J$332,Time_Entries!$B$5:$B$332,$A18,Time_Entries!$E$5:$E$332,C$5,Time_Entries!$N$5:$N$332,"")=0,"MISSING",SUMIFS(Time_Entries!$J$5:$J$332,Time_Entries!$B$5:$B$332,$A18,Time_Entries!$E$5:$E$332,C$5,Time_Entries!$N$5:$N$332,"")))</f>
        <v>8</v>
      </c>
      <c r="D18" s="22">
        <f>IF(COUNTIFS(Lists!$N$5:$N$7,$A18,Lists!$O$5:$O$7,D$5)&gt;0,"LEAVE",IF(SUMIFS(Time_Entries!$J$5:$J$332,Time_Entries!$B$5:$B$332,$A18,Time_Entries!$E$5:$E$332,D$5,Time_Entries!$N$5:$N$332,"")=0,"MISSING",SUMIFS(Time_Entries!$J$5:$J$332,Time_Entries!$B$5:$B$332,$A18,Time_Entries!$E$5:$E$332,D$5,Time_Entries!$N$5:$N$332,"")))</f>
        <v>8</v>
      </c>
      <c r="E18" s="22">
        <f>IF(COUNTIFS(Lists!$N$5:$N$7,$A18,Lists!$O$5:$O$7,E$5)&gt;0,"LEAVE",IF(SUMIFS(Time_Entries!$J$5:$J$332,Time_Entries!$B$5:$B$332,$A18,Time_Entries!$E$5:$E$332,E$5,Time_Entries!$N$5:$N$332,"")=0,"MISSING",SUMIFS(Time_Entries!$J$5:$J$332,Time_Entries!$B$5:$B$332,$A18,Time_Entries!$E$5:$E$332,E$5,Time_Entries!$N$5:$N$332,"")))</f>
        <v>8</v>
      </c>
      <c r="F18" s="22">
        <f>IF(COUNTIFS(Lists!$N$5:$N$7,$A18,Lists!$O$5:$O$7,F$5)&gt;0,"LEAVE",IF(SUMIFS(Time_Entries!$J$5:$J$332,Time_Entries!$B$5:$B$332,$A18,Time_Entries!$E$5:$E$332,F$5,Time_Entries!$N$5:$N$332,"")=0,"MISSING",SUMIFS(Time_Entries!$J$5:$J$332,Time_Entries!$B$5:$B$332,$A18,Time_Entries!$E$5:$E$332,F$5,Time_Entries!$N$5:$N$332,"")))</f>
        <v>8</v>
      </c>
      <c r="G18" s="22">
        <f>IF(COUNTIFS(Lists!$N$5:$N$7,$A18,Lists!$O$5:$O$7,G$5)&gt;0,"LEAVE",IF(SUMIFS(Time_Entries!$J$5:$J$332,Time_Entries!$B$5:$B$332,$A18,Time_Entries!$E$5:$E$332,G$5,Time_Entries!$N$5:$N$332,"")=0,"MISSING",SUMIFS(Time_Entries!$J$5:$J$332,Time_Entries!$B$5:$B$332,$A18,Time_Entries!$E$5:$E$332,G$5,Time_Entries!$N$5:$N$332,"")))</f>
        <v>8</v>
      </c>
      <c r="H18" s="22">
        <f>IF(COUNTIFS(Lists!$N$5:$N$7,$A18,Lists!$O$5:$O$7,H$5)&gt;0,"LEAVE",IF(SUMIFS(Time_Entries!$J$5:$J$332,Time_Entries!$B$5:$B$332,$A18,Time_Entries!$E$5:$E$332,H$5,Time_Entries!$N$5:$N$332,"")=0,"MISSING",SUMIFS(Time_Entries!$J$5:$J$332,Time_Entries!$B$5:$B$332,$A18,Time_Entries!$E$5:$E$332,H$5,Time_Entries!$N$5:$N$332,"")))</f>
        <v>8</v>
      </c>
      <c r="I18" s="22">
        <f>IF(COUNTIFS(Lists!$N$5:$N$7,$A18,Lists!$O$5:$O$7,I$5)&gt;0,"LEAVE",IF(SUMIFS(Time_Entries!$J$5:$J$332,Time_Entries!$B$5:$B$332,$A18,Time_Entries!$E$5:$E$332,I$5,Time_Entries!$N$5:$N$332,"")=0,"MISSING",SUMIFS(Time_Entries!$J$5:$J$332,Time_Entries!$B$5:$B$332,$A18,Time_Entries!$E$5:$E$332,I$5,Time_Entries!$N$5:$N$332,"")))</f>
        <v>8</v>
      </c>
      <c r="J18" s="22">
        <f>IF(COUNTIFS(Lists!$N$5:$N$7,$A18,Lists!$O$5:$O$7,J$5)&gt;0,"LEAVE",IF(SUMIFS(Time_Entries!$J$5:$J$332,Time_Entries!$B$5:$B$332,$A18,Time_Entries!$E$5:$E$332,J$5,Time_Entries!$N$5:$N$332,"")=0,"MISSING",SUMIFS(Time_Entries!$J$5:$J$332,Time_Entries!$B$5:$B$332,$A18,Time_Entries!$E$5:$E$332,J$5,Time_Entries!$N$5:$N$332,"")))</f>
        <v>8</v>
      </c>
      <c r="K18" s="22">
        <f>IF(COUNTIFS(Lists!$N$5:$N$7,$A18,Lists!$O$5:$O$7,K$5)&gt;0,"LEAVE",IF(SUMIFS(Time_Entries!$J$5:$J$332,Time_Entries!$B$5:$B$332,$A18,Time_Entries!$E$5:$E$332,K$5,Time_Entries!$N$5:$N$332,"")=0,"MISSING",SUMIFS(Time_Entries!$J$5:$J$332,Time_Entries!$B$5:$B$332,$A18,Time_Entries!$E$5:$E$332,K$5,Time_Entries!$N$5:$N$332,"")))</f>
        <v>8</v>
      </c>
      <c r="L18" s="22">
        <f>IF(COUNTIFS(Lists!$N$5:$N$7,$A18,Lists!$O$5:$O$7,L$5)&gt;0,"LEAVE",IF(SUMIFS(Time_Entries!$J$5:$J$332,Time_Entries!$B$5:$B$332,$A18,Time_Entries!$E$5:$E$332,L$5,Time_Entries!$N$5:$N$332,"")=0,"MISSING",SUMIFS(Time_Entries!$J$5:$J$332,Time_Entries!$B$5:$B$332,$A18,Time_Entries!$E$5:$E$332,L$5,Time_Entries!$N$5:$N$332,"")))</f>
        <v>8</v>
      </c>
      <c r="M18" s="23">
        <f t="shared" si="0"/>
        <v>80</v>
      </c>
      <c r="N18" s="23">
        <f t="shared" si="1"/>
        <v>80</v>
      </c>
      <c r="O18" s="18">
        <f t="shared" si="2"/>
        <v>0</v>
      </c>
    </row>
    <row r="19" spans="1:15" x14ac:dyDescent="0.25">
      <c r="A19" s="7" t="s">
        <v>206</v>
      </c>
      <c r="B19" s="8" t="str">
        <f>Lists!B18</f>
        <v>Finley Novak</v>
      </c>
      <c r="C19" s="22">
        <f>IF(COUNTIFS(Lists!$N$5:$N$7,$A19,Lists!$O$5:$O$7,C$5)&gt;0,"LEAVE",IF(SUMIFS(Time_Entries!$J$5:$J$332,Time_Entries!$B$5:$B$332,$A19,Time_Entries!$E$5:$E$332,C$5,Time_Entries!$N$5:$N$332,"")=0,"MISSING",SUMIFS(Time_Entries!$J$5:$J$332,Time_Entries!$B$5:$B$332,$A19,Time_Entries!$E$5:$E$332,C$5,Time_Entries!$N$5:$N$332,"")))</f>
        <v>8</v>
      </c>
      <c r="D19" s="22">
        <f>IF(COUNTIFS(Lists!$N$5:$N$7,$A19,Lists!$O$5:$O$7,D$5)&gt;0,"LEAVE",IF(SUMIFS(Time_Entries!$J$5:$J$332,Time_Entries!$B$5:$B$332,$A19,Time_Entries!$E$5:$E$332,D$5,Time_Entries!$N$5:$N$332,"")=0,"MISSING",SUMIFS(Time_Entries!$J$5:$J$332,Time_Entries!$B$5:$B$332,$A19,Time_Entries!$E$5:$E$332,D$5,Time_Entries!$N$5:$N$332,"")))</f>
        <v>8</v>
      </c>
      <c r="E19" s="22">
        <f>IF(COUNTIFS(Lists!$N$5:$N$7,$A19,Lists!$O$5:$O$7,E$5)&gt;0,"LEAVE",IF(SUMIFS(Time_Entries!$J$5:$J$332,Time_Entries!$B$5:$B$332,$A19,Time_Entries!$E$5:$E$332,E$5,Time_Entries!$N$5:$N$332,"")=0,"MISSING",SUMIFS(Time_Entries!$J$5:$J$332,Time_Entries!$B$5:$B$332,$A19,Time_Entries!$E$5:$E$332,E$5,Time_Entries!$N$5:$N$332,"")))</f>
        <v>8</v>
      </c>
      <c r="F19" s="22">
        <f>IF(COUNTIFS(Lists!$N$5:$N$7,$A19,Lists!$O$5:$O$7,F$5)&gt;0,"LEAVE",IF(SUMIFS(Time_Entries!$J$5:$J$332,Time_Entries!$B$5:$B$332,$A19,Time_Entries!$E$5:$E$332,F$5,Time_Entries!$N$5:$N$332,"")=0,"MISSING",SUMIFS(Time_Entries!$J$5:$J$332,Time_Entries!$B$5:$B$332,$A19,Time_Entries!$E$5:$E$332,F$5,Time_Entries!$N$5:$N$332,"")))</f>
        <v>8</v>
      </c>
      <c r="G19" s="22">
        <f>IF(COUNTIFS(Lists!$N$5:$N$7,$A19,Lists!$O$5:$O$7,G$5)&gt;0,"LEAVE",IF(SUMIFS(Time_Entries!$J$5:$J$332,Time_Entries!$B$5:$B$332,$A19,Time_Entries!$E$5:$E$332,G$5,Time_Entries!$N$5:$N$332,"")=0,"MISSING",SUMIFS(Time_Entries!$J$5:$J$332,Time_Entries!$B$5:$B$332,$A19,Time_Entries!$E$5:$E$332,G$5,Time_Entries!$N$5:$N$332,"")))</f>
        <v>8</v>
      </c>
      <c r="H19" s="22" t="str">
        <f>IF(COUNTIFS(Lists!$N$5:$N$7,$A19,Lists!$O$5:$O$7,H$5)&gt;0,"LEAVE",IF(SUMIFS(Time_Entries!$J$5:$J$332,Time_Entries!$B$5:$B$332,$A19,Time_Entries!$E$5:$E$332,H$5,Time_Entries!$N$5:$N$332,"")=0,"MISSING",SUMIFS(Time_Entries!$J$5:$J$332,Time_Entries!$B$5:$B$332,$A19,Time_Entries!$E$5:$E$332,H$5,Time_Entries!$N$5:$N$332,"")))</f>
        <v>LEAVE</v>
      </c>
      <c r="I19" s="22">
        <f>IF(COUNTIFS(Lists!$N$5:$N$7,$A19,Lists!$O$5:$O$7,I$5)&gt;0,"LEAVE",IF(SUMIFS(Time_Entries!$J$5:$J$332,Time_Entries!$B$5:$B$332,$A19,Time_Entries!$E$5:$E$332,I$5,Time_Entries!$N$5:$N$332,"")=0,"MISSING",SUMIFS(Time_Entries!$J$5:$J$332,Time_Entries!$B$5:$B$332,$A19,Time_Entries!$E$5:$E$332,I$5,Time_Entries!$N$5:$N$332,"")))</f>
        <v>8</v>
      </c>
      <c r="J19" s="22">
        <f>IF(COUNTIFS(Lists!$N$5:$N$7,$A19,Lists!$O$5:$O$7,J$5)&gt;0,"LEAVE",IF(SUMIFS(Time_Entries!$J$5:$J$332,Time_Entries!$B$5:$B$332,$A19,Time_Entries!$E$5:$E$332,J$5,Time_Entries!$N$5:$N$332,"")=0,"MISSING",SUMIFS(Time_Entries!$J$5:$J$332,Time_Entries!$B$5:$B$332,$A19,Time_Entries!$E$5:$E$332,J$5,Time_Entries!$N$5:$N$332,"")))</f>
        <v>8</v>
      </c>
      <c r="K19" s="22">
        <f>IF(COUNTIFS(Lists!$N$5:$N$7,$A19,Lists!$O$5:$O$7,K$5)&gt;0,"LEAVE",IF(SUMIFS(Time_Entries!$J$5:$J$332,Time_Entries!$B$5:$B$332,$A19,Time_Entries!$E$5:$E$332,K$5,Time_Entries!$N$5:$N$332,"")=0,"MISSING",SUMIFS(Time_Entries!$J$5:$J$332,Time_Entries!$B$5:$B$332,$A19,Time_Entries!$E$5:$E$332,K$5,Time_Entries!$N$5:$N$332,"")))</f>
        <v>8</v>
      </c>
      <c r="L19" s="22">
        <f>IF(COUNTIFS(Lists!$N$5:$N$7,$A19,Lists!$O$5:$O$7,L$5)&gt;0,"LEAVE",IF(SUMIFS(Time_Entries!$J$5:$J$332,Time_Entries!$B$5:$B$332,$A19,Time_Entries!$E$5:$E$332,L$5,Time_Entries!$N$5:$N$332,"")=0,"MISSING",SUMIFS(Time_Entries!$J$5:$J$332,Time_Entries!$B$5:$B$332,$A19,Time_Entries!$E$5:$E$332,L$5,Time_Entries!$N$5:$N$332,"")))</f>
        <v>8</v>
      </c>
      <c r="M19" s="23">
        <f t="shared" si="0"/>
        <v>72</v>
      </c>
      <c r="N19" s="23">
        <f t="shared" si="1"/>
        <v>72</v>
      </c>
      <c r="O19" s="18">
        <f t="shared" si="2"/>
        <v>0</v>
      </c>
    </row>
    <row r="20" spans="1:15" x14ac:dyDescent="0.25">
      <c r="A20" s="7" t="s">
        <v>217</v>
      </c>
      <c r="B20" s="8" t="str">
        <f>Lists!B19</f>
        <v>Logan Osgood</v>
      </c>
      <c r="C20" s="22">
        <f>IF(COUNTIFS(Lists!$N$5:$N$7,$A20,Lists!$O$5:$O$7,C$5)&gt;0,"LEAVE",IF(SUMIFS(Time_Entries!$J$5:$J$332,Time_Entries!$B$5:$B$332,$A20,Time_Entries!$E$5:$E$332,C$5,Time_Entries!$N$5:$N$332,"")=0,"MISSING",SUMIFS(Time_Entries!$J$5:$J$332,Time_Entries!$B$5:$B$332,$A20,Time_Entries!$E$5:$E$332,C$5,Time_Entries!$N$5:$N$332,"")))</f>
        <v>8</v>
      </c>
      <c r="D20" s="22">
        <f>IF(COUNTIFS(Lists!$N$5:$N$7,$A20,Lists!$O$5:$O$7,D$5)&gt;0,"LEAVE",IF(SUMIFS(Time_Entries!$J$5:$J$332,Time_Entries!$B$5:$B$332,$A20,Time_Entries!$E$5:$E$332,D$5,Time_Entries!$N$5:$N$332,"")=0,"MISSING",SUMIFS(Time_Entries!$J$5:$J$332,Time_Entries!$B$5:$B$332,$A20,Time_Entries!$E$5:$E$332,D$5,Time_Entries!$N$5:$N$332,"")))</f>
        <v>8</v>
      </c>
      <c r="E20" s="22">
        <f>IF(COUNTIFS(Lists!$N$5:$N$7,$A20,Lists!$O$5:$O$7,E$5)&gt;0,"LEAVE",IF(SUMIFS(Time_Entries!$J$5:$J$332,Time_Entries!$B$5:$B$332,$A20,Time_Entries!$E$5:$E$332,E$5,Time_Entries!$N$5:$N$332,"")=0,"MISSING",SUMIFS(Time_Entries!$J$5:$J$332,Time_Entries!$B$5:$B$332,$A20,Time_Entries!$E$5:$E$332,E$5,Time_Entries!$N$5:$N$332,"")))</f>
        <v>8</v>
      </c>
      <c r="F20" s="22">
        <f>IF(COUNTIFS(Lists!$N$5:$N$7,$A20,Lists!$O$5:$O$7,F$5)&gt;0,"LEAVE",IF(SUMIFS(Time_Entries!$J$5:$J$332,Time_Entries!$B$5:$B$332,$A20,Time_Entries!$E$5:$E$332,F$5,Time_Entries!$N$5:$N$332,"")=0,"MISSING",SUMIFS(Time_Entries!$J$5:$J$332,Time_Entries!$B$5:$B$332,$A20,Time_Entries!$E$5:$E$332,F$5,Time_Entries!$N$5:$N$332,"")))</f>
        <v>8</v>
      </c>
      <c r="G20" s="22">
        <f>IF(COUNTIFS(Lists!$N$5:$N$7,$A20,Lists!$O$5:$O$7,G$5)&gt;0,"LEAVE",IF(SUMIFS(Time_Entries!$J$5:$J$332,Time_Entries!$B$5:$B$332,$A20,Time_Entries!$E$5:$E$332,G$5,Time_Entries!$N$5:$N$332,"")=0,"MISSING",SUMIFS(Time_Entries!$J$5:$J$332,Time_Entries!$B$5:$B$332,$A20,Time_Entries!$E$5:$E$332,G$5,Time_Entries!$N$5:$N$332,"")))</f>
        <v>8</v>
      </c>
      <c r="H20" s="22">
        <f>IF(COUNTIFS(Lists!$N$5:$N$7,$A20,Lists!$O$5:$O$7,H$5)&gt;0,"LEAVE",IF(SUMIFS(Time_Entries!$J$5:$J$332,Time_Entries!$B$5:$B$332,$A20,Time_Entries!$E$5:$E$332,H$5,Time_Entries!$N$5:$N$332,"")=0,"MISSING",SUMIFS(Time_Entries!$J$5:$J$332,Time_Entries!$B$5:$B$332,$A20,Time_Entries!$E$5:$E$332,H$5,Time_Entries!$N$5:$N$332,"")))</f>
        <v>8</v>
      </c>
      <c r="I20" s="22">
        <f>IF(COUNTIFS(Lists!$N$5:$N$7,$A20,Lists!$O$5:$O$7,I$5)&gt;0,"LEAVE",IF(SUMIFS(Time_Entries!$J$5:$J$332,Time_Entries!$B$5:$B$332,$A20,Time_Entries!$E$5:$E$332,I$5,Time_Entries!$N$5:$N$332,"")=0,"MISSING",SUMIFS(Time_Entries!$J$5:$J$332,Time_Entries!$B$5:$B$332,$A20,Time_Entries!$E$5:$E$332,I$5,Time_Entries!$N$5:$N$332,"")))</f>
        <v>8</v>
      </c>
      <c r="J20" s="22">
        <f>IF(COUNTIFS(Lists!$N$5:$N$7,$A20,Lists!$O$5:$O$7,J$5)&gt;0,"LEAVE",IF(SUMIFS(Time_Entries!$J$5:$J$332,Time_Entries!$B$5:$B$332,$A20,Time_Entries!$E$5:$E$332,J$5,Time_Entries!$N$5:$N$332,"")=0,"MISSING",SUMIFS(Time_Entries!$J$5:$J$332,Time_Entries!$B$5:$B$332,$A20,Time_Entries!$E$5:$E$332,J$5,Time_Entries!$N$5:$N$332,"")))</f>
        <v>8</v>
      </c>
      <c r="K20" s="22">
        <f>IF(COUNTIFS(Lists!$N$5:$N$7,$A20,Lists!$O$5:$O$7,K$5)&gt;0,"LEAVE",IF(SUMIFS(Time_Entries!$J$5:$J$332,Time_Entries!$B$5:$B$332,$A20,Time_Entries!$E$5:$E$332,K$5,Time_Entries!$N$5:$N$332,"")=0,"MISSING",SUMIFS(Time_Entries!$J$5:$J$332,Time_Entries!$B$5:$B$332,$A20,Time_Entries!$E$5:$E$332,K$5,Time_Entries!$N$5:$N$332,"")))</f>
        <v>8</v>
      </c>
      <c r="L20" s="22">
        <f>IF(COUNTIFS(Lists!$N$5:$N$7,$A20,Lists!$O$5:$O$7,L$5)&gt;0,"LEAVE",IF(SUMIFS(Time_Entries!$J$5:$J$332,Time_Entries!$B$5:$B$332,$A20,Time_Entries!$E$5:$E$332,L$5,Time_Entries!$N$5:$N$332,"")=0,"MISSING",SUMIFS(Time_Entries!$J$5:$J$332,Time_Entries!$B$5:$B$332,$A20,Time_Entries!$E$5:$E$332,L$5,Time_Entries!$N$5:$N$332,"")))</f>
        <v>8</v>
      </c>
      <c r="M20" s="23">
        <f t="shared" si="0"/>
        <v>80</v>
      </c>
      <c r="N20" s="23">
        <f t="shared" si="1"/>
        <v>80</v>
      </c>
      <c r="O20" s="18">
        <f t="shared" si="2"/>
        <v>0</v>
      </c>
    </row>
    <row r="21" spans="1:15" x14ac:dyDescent="0.25">
      <c r="A21" s="7" t="s">
        <v>229</v>
      </c>
      <c r="B21" s="8" t="str">
        <f>Lists!B20</f>
        <v>Kendall Pruitt</v>
      </c>
      <c r="C21" s="22">
        <f>IF(COUNTIFS(Lists!$N$5:$N$7,$A21,Lists!$O$5:$O$7,C$5)&gt;0,"LEAVE",IF(SUMIFS(Time_Entries!$J$5:$J$332,Time_Entries!$B$5:$B$332,$A21,Time_Entries!$E$5:$E$332,C$5,Time_Entries!$N$5:$N$332,"")=0,"MISSING",SUMIFS(Time_Entries!$J$5:$J$332,Time_Entries!$B$5:$B$332,$A21,Time_Entries!$E$5:$E$332,C$5,Time_Entries!$N$5:$N$332,"")))</f>
        <v>8</v>
      </c>
      <c r="D21" s="22">
        <f>IF(COUNTIFS(Lists!$N$5:$N$7,$A21,Lists!$O$5:$O$7,D$5)&gt;0,"LEAVE",IF(SUMIFS(Time_Entries!$J$5:$J$332,Time_Entries!$B$5:$B$332,$A21,Time_Entries!$E$5:$E$332,D$5,Time_Entries!$N$5:$N$332,"")=0,"MISSING",SUMIFS(Time_Entries!$J$5:$J$332,Time_Entries!$B$5:$B$332,$A21,Time_Entries!$E$5:$E$332,D$5,Time_Entries!$N$5:$N$332,"")))</f>
        <v>8</v>
      </c>
      <c r="E21" s="22">
        <f>IF(COUNTIFS(Lists!$N$5:$N$7,$A21,Lists!$O$5:$O$7,E$5)&gt;0,"LEAVE",IF(SUMIFS(Time_Entries!$J$5:$J$332,Time_Entries!$B$5:$B$332,$A21,Time_Entries!$E$5:$E$332,E$5,Time_Entries!$N$5:$N$332,"")=0,"MISSING",SUMIFS(Time_Entries!$J$5:$J$332,Time_Entries!$B$5:$B$332,$A21,Time_Entries!$E$5:$E$332,E$5,Time_Entries!$N$5:$N$332,"")))</f>
        <v>8</v>
      </c>
      <c r="F21" s="22">
        <f>IF(COUNTIFS(Lists!$N$5:$N$7,$A21,Lists!$O$5:$O$7,F$5)&gt;0,"LEAVE",IF(SUMIFS(Time_Entries!$J$5:$J$332,Time_Entries!$B$5:$B$332,$A21,Time_Entries!$E$5:$E$332,F$5,Time_Entries!$N$5:$N$332,"")=0,"MISSING",SUMIFS(Time_Entries!$J$5:$J$332,Time_Entries!$B$5:$B$332,$A21,Time_Entries!$E$5:$E$332,F$5,Time_Entries!$N$5:$N$332,"")))</f>
        <v>8</v>
      </c>
      <c r="G21" s="22">
        <f>IF(COUNTIFS(Lists!$N$5:$N$7,$A21,Lists!$O$5:$O$7,G$5)&gt;0,"LEAVE",IF(SUMIFS(Time_Entries!$J$5:$J$332,Time_Entries!$B$5:$B$332,$A21,Time_Entries!$E$5:$E$332,G$5,Time_Entries!$N$5:$N$332,"")=0,"MISSING",SUMIFS(Time_Entries!$J$5:$J$332,Time_Entries!$B$5:$B$332,$A21,Time_Entries!$E$5:$E$332,G$5,Time_Entries!$N$5:$N$332,"")))</f>
        <v>8</v>
      </c>
      <c r="H21" s="22">
        <f>IF(COUNTIFS(Lists!$N$5:$N$7,$A21,Lists!$O$5:$O$7,H$5)&gt;0,"LEAVE",IF(SUMIFS(Time_Entries!$J$5:$J$332,Time_Entries!$B$5:$B$332,$A21,Time_Entries!$E$5:$E$332,H$5,Time_Entries!$N$5:$N$332,"")=0,"MISSING",SUMIFS(Time_Entries!$J$5:$J$332,Time_Entries!$B$5:$B$332,$A21,Time_Entries!$E$5:$E$332,H$5,Time_Entries!$N$5:$N$332,"")))</f>
        <v>8</v>
      </c>
      <c r="I21" s="22">
        <f>IF(COUNTIFS(Lists!$N$5:$N$7,$A21,Lists!$O$5:$O$7,I$5)&gt;0,"LEAVE",IF(SUMIFS(Time_Entries!$J$5:$J$332,Time_Entries!$B$5:$B$332,$A21,Time_Entries!$E$5:$E$332,I$5,Time_Entries!$N$5:$N$332,"")=0,"MISSING",SUMIFS(Time_Entries!$J$5:$J$332,Time_Entries!$B$5:$B$332,$A21,Time_Entries!$E$5:$E$332,I$5,Time_Entries!$N$5:$N$332,"")))</f>
        <v>8</v>
      </c>
      <c r="J21" s="22">
        <f>IF(COUNTIFS(Lists!$N$5:$N$7,$A21,Lists!$O$5:$O$7,J$5)&gt;0,"LEAVE",IF(SUMIFS(Time_Entries!$J$5:$J$332,Time_Entries!$B$5:$B$332,$A21,Time_Entries!$E$5:$E$332,J$5,Time_Entries!$N$5:$N$332,"")=0,"MISSING",SUMIFS(Time_Entries!$J$5:$J$332,Time_Entries!$B$5:$B$332,$A21,Time_Entries!$E$5:$E$332,J$5,Time_Entries!$N$5:$N$332,"")))</f>
        <v>8</v>
      </c>
      <c r="K21" s="22">
        <f>IF(COUNTIFS(Lists!$N$5:$N$7,$A21,Lists!$O$5:$O$7,K$5)&gt;0,"LEAVE",IF(SUMIFS(Time_Entries!$J$5:$J$332,Time_Entries!$B$5:$B$332,$A21,Time_Entries!$E$5:$E$332,K$5,Time_Entries!$N$5:$N$332,"")=0,"MISSING",SUMIFS(Time_Entries!$J$5:$J$332,Time_Entries!$B$5:$B$332,$A21,Time_Entries!$E$5:$E$332,K$5,Time_Entries!$N$5:$N$332,"")))</f>
        <v>8</v>
      </c>
      <c r="L21" s="22">
        <f>IF(COUNTIFS(Lists!$N$5:$N$7,$A21,Lists!$O$5:$O$7,L$5)&gt;0,"LEAVE",IF(SUMIFS(Time_Entries!$J$5:$J$332,Time_Entries!$B$5:$B$332,$A21,Time_Entries!$E$5:$E$332,L$5,Time_Entries!$N$5:$N$332,"")=0,"MISSING",SUMIFS(Time_Entries!$J$5:$J$332,Time_Entries!$B$5:$B$332,$A21,Time_Entries!$E$5:$E$332,L$5,Time_Entries!$N$5:$N$332,"")))</f>
        <v>8</v>
      </c>
      <c r="M21" s="23">
        <f t="shared" si="0"/>
        <v>80</v>
      </c>
      <c r="N21" s="23">
        <f t="shared" si="1"/>
        <v>80</v>
      </c>
      <c r="O21" s="18">
        <f t="shared" si="2"/>
        <v>0</v>
      </c>
    </row>
    <row r="22" spans="1:15" x14ac:dyDescent="0.25">
      <c r="A22" s="7" t="s">
        <v>240</v>
      </c>
      <c r="B22" s="8" t="str">
        <f>Lists!B21</f>
        <v>Reese Quill</v>
      </c>
      <c r="C22" s="22" t="str">
        <f>IF(COUNTIFS(Lists!$N$5:$N$7,$A22,Lists!$O$5:$O$7,C$5)&gt;0,"LEAVE",IF(SUMIFS(Time_Entries!$J$5:$J$332,Time_Entries!$B$5:$B$332,$A22,Time_Entries!$E$5:$E$332,C$5,Time_Entries!$N$5:$N$332,"")=0,"MISSING",SUMIFS(Time_Entries!$J$5:$J$332,Time_Entries!$B$5:$B$332,$A22,Time_Entries!$E$5:$E$332,C$5,Time_Entries!$N$5:$N$332,"")))</f>
        <v>MISSING</v>
      </c>
      <c r="D22" s="22">
        <f>IF(COUNTIFS(Lists!$N$5:$N$7,$A22,Lists!$O$5:$O$7,D$5)&gt;0,"LEAVE",IF(SUMIFS(Time_Entries!$J$5:$J$332,Time_Entries!$B$5:$B$332,$A22,Time_Entries!$E$5:$E$332,D$5,Time_Entries!$N$5:$N$332,"")=0,"MISSING",SUMIFS(Time_Entries!$J$5:$J$332,Time_Entries!$B$5:$B$332,$A22,Time_Entries!$E$5:$E$332,D$5,Time_Entries!$N$5:$N$332,"")))</f>
        <v>8</v>
      </c>
      <c r="E22" s="22">
        <f>IF(COUNTIFS(Lists!$N$5:$N$7,$A22,Lists!$O$5:$O$7,E$5)&gt;0,"LEAVE",IF(SUMIFS(Time_Entries!$J$5:$J$332,Time_Entries!$B$5:$B$332,$A22,Time_Entries!$E$5:$E$332,E$5,Time_Entries!$N$5:$N$332,"")=0,"MISSING",SUMIFS(Time_Entries!$J$5:$J$332,Time_Entries!$B$5:$B$332,$A22,Time_Entries!$E$5:$E$332,E$5,Time_Entries!$N$5:$N$332,"")))</f>
        <v>8</v>
      </c>
      <c r="F22" s="22">
        <f>IF(COUNTIFS(Lists!$N$5:$N$7,$A22,Lists!$O$5:$O$7,F$5)&gt;0,"LEAVE",IF(SUMIFS(Time_Entries!$J$5:$J$332,Time_Entries!$B$5:$B$332,$A22,Time_Entries!$E$5:$E$332,F$5,Time_Entries!$N$5:$N$332,"")=0,"MISSING",SUMIFS(Time_Entries!$J$5:$J$332,Time_Entries!$B$5:$B$332,$A22,Time_Entries!$E$5:$E$332,F$5,Time_Entries!$N$5:$N$332,"")))</f>
        <v>8</v>
      </c>
      <c r="G22" s="22">
        <f>IF(COUNTIFS(Lists!$N$5:$N$7,$A22,Lists!$O$5:$O$7,G$5)&gt;0,"LEAVE",IF(SUMIFS(Time_Entries!$J$5:$J$332,Time_Entries!$B$5:$B$332,$A22,Time_Entries!$E$5:$E$332,G$5,Time_Entries!$N$5:$N$332,"")=0,"MISSING",SUMIFS(Time_Entries!$J$5:$J$332,Time_Entries!$B$5:$B$332,$A22,Time_Entries!$E$5:$E$332,G$5,Time_Entries!$N$5:$N$332,"")))</f>
        <v>8</v>
      </c>
      <c r="H22" s="22">
        <f>IF(COUNTIFS(Lists!$N$5:$N$7,$A22,Lists!$O$5:$O$7,H$5)&gt;0,"LEAVE",IF(SUMIFS(Time_Entries!$J$5:$J$332,Time_Entries!$B$5:$B$332,$A22,Time_Entries!$E$5:$E$332,H$5,Time_Entries!$N$5:$N$332,"")=0,"MISSING",SUMIFS(Time_Entries!$J$5:$J$332,Time_Entries!$B$5:$B$332,$A22,Time_Entries!$E$5:$E$332,H$5,Time_Entries!$N$5:$N$332,"")))</f>
        <v>8</v>
      </c>
      <c r="I22" s="22">
        <f>IF(COUNTIFS(Lists!$N$5:$N$7,$A22,Lists!$O$5:$O$7,I$5)&gt;0,"LEAVE",IF(SUMIFS(Time_Entries!$J$5:$J$332,Time_Entries!$B$5:$B$332,$A22,Time_Entries!$E$5:$E$332,I$5,Time_Entries!$N$5:$N$332,"")=0,"MISSING",SUMIFS(Time_Entries!$J$5:$J$332,Time_Entries!$B$5:$B$332,$A22,Time_Entries!$E$5:$E$332,I$5,Time_Entries!$N$5:$N$332,"")))</f>
        <v>8</v>
      </c>
      <c r="J22" s="22">
        <f>IF(COUNTIFS(Lists!$N$5:$N$7,$A22,Lists!$O$5:$O$7,J$5)&gt;0,"LEAVE",IF(SUMIFS(Time_Entries!$J$5:$J$332,Time_Entries!$B$5:$B$332,$A22,Time_Entries!$E$5:$E$332,J$5,Time_Entries!$N$5:$N$332,"")=0,"MISSING",SUMIFS(Time_Entries!$J$5:$J$332,Time_Entries!$B$5:$B$332,$A22,Time_Entries!$E$5:$E$332,J$5,Time_Entries!$N$5:$N$332,"")))</f>
        <v>8</v>
      </c>
      <c r="K22" s="22">
        <f>IF(COUNTIFS(Lists!$N$5:$N$7,$A22,Lists!$O$5:$O$7,K$5)&gt;0,"LEAVE",IF(SUMIFS(Time_Entries!$J$5:$J$332,Time_Entries!$B$5:$B$332,$A22,Time_Entries!$E$5:$E$332,K$5,Time_Entries!$N$5:$N$332,"")=0,"MISSING",SUMIFS(Time_Entries!$J$5:$J$332,Time_Entries!$B$5:$B$332,$A22,Time_Entries!$E$5:$E$332,K$5,Time_Entries!$N$5:$N$332,"")))</f>
        <v>8</v>
      </c>
      <c r="L22" s="22">
        <f>IF(COUNTIFS(Lists!$N$5:$N$7,$A22,Lists!$O$5:$O$7,L$5)&gt;0,"LEAVE",IF(SUMIFS(Time_Entries!$J$5:$J$332,Time_Entries!$B$5:$B$332,$A22,Time_Entries!$E$5:$E$332,L$5,Time_Entries!$N$5:$N$332,"")=0,"MISSING",SUMIFS(Time_Entries!$J$5:$J$332,Time_Entries!$B$5:$B$332,$A22,Time_Entries!$E$5:$E$332,L$5,Time_Entries!$N$5:$N$332,"")))</f>
        <v>8</v>
      </c>
      <c r="M22" s="23">
        <f t="shared" si="0"/>
        <v>72</v>
      </c>
      <c r="N22" s="23">
        <f t="shared" si="1"/>
        <v>80</v>
      </c>
      <c r="O22" s="18">
        <f t="shared" si="2"/>
        <v>-8</v>
      </c>
    </row>
    <row r="23" spans="1:15" x14ac:dyDescent="0.25">
      <c r="A23" s="7" t="s">
        <v>250</v>
      </c>
      <c r="B23" s="8" t="str">
        <f>Lists!B22</f>
        <v>Skyler Radford</v>
      </c>
      <c r="C23" s="22">
        <f>IF(COUNTIFS(Lists!$N$5:$N$7,$A23,Lists!$O$5:$O$7,C$5)&gt;0,"LEAVE",IF(SUMIFS(Time_Entries!$J$5:$J$332,Time_Entries!$B$5:$B$332,$A23,Time_Entries!$E$5:$E$332,C$5,Time_Entries!$N$5:$N$332,"")=0,"MISSING",SUMIFS(Time_Entries!$J$5:$J$332,Time_Entries!$B$5:$B$332,$A23,Time_Entries!$E$5:$E$332,C$5,Time_Entries!$N$5:$N$332,"")))</f>
        <v>8</v>
      </c>
      <c r="D23" s="22">
        <f>IF(COUNTIFS(Lists!$N$5:$N$7,$A23,Lists!$O$5:$O$7,D$5)&gt;0,"LEAVE",IF(SUMIFS(Time_Entries!$J$5:$J$332,Time_Entries!$B$5:$B$332,$A23,Time_Entries!$E$5:$E$332,D$5,Time_Entries!$N$5:$N$332,"")=0,"MISSING",SUMIFS(Time_Entries!$J$5:$J$332,Time_Entries!$B$5:$B$332,$A23,Time_Entries!$E$5:$E$332,D$5,Time_Entries!$N$5:$N$332,"")))</f>
        <v>8</v>
      </c>
      <c r="E23" s="22">
        <f>IF(COUNTIFS(Lists!$N$5:$N$7,$A23,Lists!$O$5:$O$7,E$5)&gt;0,"LEAVE",IF(SUMIFS(Time_Entries!$J$5:$J$332,Time_Entries!$B$5:$B$332,$A23,Time_Entries!$E$5:$E$332,E$5,Time_Entries!$N$5:$N$332,"")=0,"MISSING",SUMIFS(Time_Entries!$J$5:$J$332,Time_Entries!$B$5:$B$332,$A23,Time_Entries!$E$5:$E$332,E$5,Time_Entries!$N$5:$N$332,"")))</f>
        <v>8</v>
      </c>
      <c r="F23" s="22">
        <f>IF(COUNTIFS(Lists!$N$5:$N$7,$A23,Lists!$O$5:$O$7,F$5)&gt;0,"LEAVE",IF(SUMIFS(Time_Entries!$J$5:$J$332,Time_Entries!$B$5:$B$332,$A23,Time_Entries!$E$5:$E$332,F$5,Time_Entries!$N$5:$N$332,"")=0,"MISSING",SUMIFS(Time_Entries!$J$5:$J$332,Time_Entries!$B$5:$B$332,$A23,Time_Entries!$E$5:$E$332,F$5,Time_Entries!$N$5:$N$332,"")))</f>
        <v>8</v>
      </c>
      <c r="G23" s="22">
        <f>IF(COUNTIFS(Lists!$N$5:$N$7,$A23,Lists!$O$5:$O$7,G$5)&gt;0,"LEAVE",IF(SUMIFS(Time_Entries!$J$5:$J$332,Time_Entries!$B$5:$B$332,$A23,Time_Entries!$E$5:$E$332,G$5,Time_Entries!$N$5:$N$332,"")=0,"MISSING",SUMIFS(Time_Entries!$J$5:$J$332,Time_Entries!$B$5:$B$332,$A23,Time_Entries!$E$5:$E$332,G$5,Time_Entries!$N$5:$N$332,"")))</f>
        <v>8</v>
      </c>
      <c r="H23" s="22">
        <f>IF(COUNTIFS(Lists!$N$5:$N$7,$A23,Lists!$O$5:$O$7,H$5)&gt;0,"LEAVE",IF(SUMIFS(Time_Entries!$J$5:$J$332,Time_Entries!$B$5:$B$332,$A23,Time_Entries!$E$5:$E$332,H$5,Time_Entries!$N$5:$N$332,"")=0,"MISSING",SUMIFS(Time_Entries!$J$5:$J$332,Time_Entries!$B$5:$B$332,$A23,Time_Entries!$E$5:$E$332,H$5,Time_Entries!$N$5:$N$332,"")))</f>
        <v>8</v>
      </c>
      <c r="I23" s="22">
        <f>IF(COUNTIFS(Lists!$N$5:$N$7,$A23,Lists!$O$5:$O$7,I$5)&gt;0,"LEAVE",IF(SUMIFS(Time_Entries!$J$5:$J$332,Time_Entries!$B$5:$B$332,$A23,Time_Entries!$E$5:$E$332,I$5,Time_Entries!$N$5:$N$332,"")=0,"MISSING",SUMIFS(Time_Entries!$J$5:$J$332,Time_Entries!$B$5:$B$332,$A23,Time_Entries!$E$5:$E$332,I$5,Time_Entries!$N$5:$N$332,"")))</f>
        <v>8</v>
      </c>
      <c r="J23" s="22">
        <f>IF(COUNTIFS(Lists!$N$5:$N$7,$A23,Lists!$O$5:$O$7,J$5)&gt;0,"LEAVE",IF(SUMIFS(Time_Entries!$J$5:$J$332,Time_Entries!$B$5:$B$332,$A23,Time_Entries!$E$5:$E$332,J$5,Time_Entries!$N$5:$N$332,"")=0,"MISSING",SUMIFS(Time_Entries!$J$5:$J$332,Time_Entries!$B$5:$B$332,$A23,Time_Entries!$E$5:$E$332,J$5,Time_Entries!$N$5:$N$332,"")))</f>
        <v>8</v>
      </c>
      <c r="K23" s="22">
        <f>IF(COUNTIFS(Lists!$N$5:$N$7,$A23,Lists!$O$5:$O$7,K$5)&gt;0,"LEAVE",IF(SUMIFS(Time_Entries!$J$5:$J$332,Time_Entries!$B$5:$B$332,$A23,Time_Entries!$E$5:$E$332,K$5,Time_Entries!$N$5:$N$332,"")=0,"MISSING",SUMIFS(Time_Entries!$J$5:$J$332,Time_Entries!$B$5:$B$332,$A23,Time_Entries!$E$5:$E$332,K$5,Time_Entries!$N$5:$N$332,"")))</f>
        <v>8</v>
      </c>
      <c r="L23" s="22">
        <f>IF(COUNTIFS(Lists!$N$5:$N$7,$A23,Lists!$O$5:$O$7,L$5)&gt;0,"LEAVE",IF(SUMIFS(Time_Entries!$J$5:$J$332,Time_Entries!$B$5:$B$332,$A23,Time_Entries!$E$5:$E$332,L$5,Time_Entries!$N$5:$N$332,"")=0,"MISSING",SUMIFS(Time_Entries!$J$5:$J$332,Time_Entries!$B$5:$B$332,$A23,Time_Entries!$E$5:$E$332,L$5,Time_Entries!$N$5:$N$332,"")))</f>
        <v>8</v>
      </c>
      <c r="M23" s="23">
        <f t="shared" si="0"/>
        <v>80</v>
      </c>
      <c r="N23" s="23">
        <f t="shared" si="1"/>
        <v>80</v>
      </c>
      <c r="O23" s="18">
        <f t="shared" si="2"/>
        <v>0</v>
      </c>
    </row>
    <row r="24" spans="1:15" x14ac:dyDescent="0.25">
      <c r="A24" s="7" t="s">
        <v>262</v>
      </c>
      <c r="B24" s="8" t="str">
        <f>Lists!B23</f>
        <v>Jamie Sterling</v>
      </c>
      <c r="C24" s="22">
        <f>IF(COUNTIFS(Lists!$N$5:$N$7,$A24,Lists!$O$5:$O$7,C$5)&gt;0,"LEAVE",IF(SUMIFS(Time_Entries!$J$5:$J$332,Time_Entries!$B$5:$B$332,$A24,Time_Entries!$E$5:$E$332,C$5,Time_Entries!$N$5:$N$332,"")=0,"MISSING",SUMIFS(Time_Entries!$J$5:$J$332,Time_Entries!$B$5:$B$332,$A24,Time_Entries!$E$5:$E$332,C$5,Time_Entries!$N$5:$N$332,"")))</f>
        <v>8</v>
      </c>
      <c r="D24" s="22">
        <f>IF(COUNTIFS(Lists!$N$5:$N$7,$A24,Lists!$O$5:$O$7,D$5)&gt;0,"LEAVE",IF(SUMIFS(Time_Entries!$J$5:$J$332,Time_Entries!$B$5:$B$332,$A24,Time_Entries!$E$5:$E$332,D$5,Time_Entries!$N$5:$N$332,"")=0,"MISSING",SUMIFS(Time_Entries!$J$5:$J$332,Time_Entries!$B$5:$B$332,$A24,Time_Entries!$E$5:$E$332,D$5,Time_Entries!$N$5:$N$332,"")))</f>
        <v>8</v>
      </c>
      <c r="E24" s="22">
        <f>IF(COUNTIFS(Lists!$N$5:$N$7,$A24,Lists!$O$5:$O$7,E$5)&gt;0,"LEAVE",IF(SUMIFS(Time_Entries!$J$5:$J$332,Time_Entries!$B$5:$B$332,$A24,Time_Entries!$E$5:$E$332,E$5,Time_Entries!$N$5:$N$332,"")=0,"MISSING",SUMIFS(Time_Entries!$J$5:$J$332,Time_Entries!$B$5:$B$332,$A24,Time_Entries!$E$5:$E$332,E$5,Time_Entries!$N$5:$N$332,"")))</f>
        <v>8</v>
      </c>
      <c r="F24" s="22">
        <f>IF(COUNTIFS(Lists!$N$5:$N$7,$A24,Lists!$O$5:$O$7,F$5)&gt;0,"LEAVE",IF(SUMIFS(Time_Entries!$J$5:$J$332,Time_Entries!$B$5:$B$332,$A24,Time_Entries!$E$5:$E$332,F$5,Time_Entries!$N$5:$N$332,"")=0,"MISSING",SUMIFS(Time_Entries!$J$5:$J$332,Time_Entries!$B$5:$B$332,$A24,Time_Entries!$E$5:$E$332,F$5,Time_Entries!$N$5:$N$332,"")))</f>
        <v>8</v>
      </c>
      <c r="G24" s="22">
        <f>IF(COUNTIFS(Lists!$N$5:$N$7,$A24,Lists!$O$5:$O$7,G$5)&gt;0,"LEAVE",IF(SUMIFS(Time_Entries!$J$5:$J$332,Time_Entries!$B$5:$B$332,$A24,Time_Entries!$E$5:$E$332,G$5,Time_Entries!$N$5:$N$332,"")=0,"MISSING",SUMIFS(Time_Entries!$J$5:$J$332,Time_Entries!$B$5:$B$332,$A24,Time_Entries!$E$5:$E$332,G$5,Time_Entries!$N$5:$N$332,"")))</f>
        <v>8</v>
      </c>
      <c r="H24" s="22">
        <f>IF(COUNTIFS(Lists!$N$5:$N$7,$A24,Lists!$O$5:$O$7,H$5)&gt;0,"LEAVE",IF(SUMIFS(Time_Entries!$J$5:$J$332,Time_Entries!$B$5:$B$332,$A24,Time_Entries!$E$5:$E$332,H$5,Time_Entries!$N$5:$N$332,"")=0,"MISSING",SUMIFS(Time_Entries!$J$5:$J$332,Time_Entries!$B$5:$B$332,$A24,Time_Entries!$E$5:$E$332,H$5,Time_Entries!$N$5:$N$332,"")))</f>
        <v>8</v>
      </c>
      <c r="I24" s="22">
        <f>IF(COUNTIFS(Lists!$N$5:$N$7,$A24,Lists!$O$5:$O$7,I$5)&gt;0,"LEAVE",IF(SUMIFS(Time_Entries!$J$5:$J$332,Time_Entries!$B$5:$B$332,$A24,Time_Entries!$E$5:$E$332,I$5,Time_Entries!$N$5:$N$332,"")=0,"MISSING",SUMIFS(Time_Entries!$J$5:$J$332,Time_Entries!$B$5:$B$332,$A24,Time_Entries!$E$5:$E$332,I$5,Time_Entries!$N$5:$N$332,"")))</f>
        <v>8</v>
      </c>
      <c r="J24" s="22" t="str">
        <f>IF(COUNTIFS(Lists!$N$5:$N$7,$A24,Lists!$O$5:$O$7,J$5)&gt;0,"LEAVE",IF(SUMIFS(Time_Entries!$J$5:$J$332,Time_Entries!$B$5:$B$332,$A24,Time_Entries!$E$5:$E$332,J$5,Time_Entries!$N$5:$N$332,"")=0,"MISSING",SUMIFS(Time_Entries!$J$5:$J$332,Time_Entries!$B$5:$B$332,$A24,Time_Entries!$E$5:$E$332,J$5,Time_Entries!$N$5:$N$332,"")))</f>
        <v>MISSING</v>
      </c>
      <c r="K24" s="22">
        <f>IF(COUNTIFS(Lists!$N$5:$N$7,$A24,Lists!$O$5:$O$7,K$5)&gt;0,"LEAVE",IF(SUMIFS(Time_Entries!$J$5:$J$332,Time_Entries!$B$5:$B$332,$A24,Time_Entries!$E$5:$E$332,K$5,Time_Entries!$N$5:$N$332,"")=0,"MISSING",SUMIFS(Time_Entries!$J$5:$J$332,Time_Entries!$B$5:$B$332,$A24,Time_Entries!$E$5:$E$332,K$5,Time_Entries!$N$5:$N$332,"")))</f>
        <v>8</v>
      </c>
      <c r="L24" s="22">
        <f>IF(COUNTIFS(Lists!$N$5:$N$7,$A24,Lists!$O$5:$O$7,L$5)&gt;0,"LEAVE",IF(SUMIFS(Time_Entries!$J$5:$J$332,Time_Entries!$B$5:$B$332,$A24,Time_Entries!$E$5:$E$332,L$5,Time_Entries!$N$5:$N$332,"")=0,"MISSING",SUMIFS(Time_Entries!$J$5:$J$332,Time_Entries!$B$5:$B$332,$A24,Time_Entries!$E$5:$E$332,L$5,Time_Entries!$N$5:$N$332,"")))</f>
        <v>8</v>
      </c>
      <c r="M24" s="23">
        <f t="shared" si="0"/>
        <v>72</v>
      </c>
      <c r="N24" s="23">
        <f t="shared" si="1"/>
        <v>80</v>
      </c>
      <c r="O24" s="18">
        <f t="shared" si="2"/>
        <v>-8</v>
      </c>
    </row>
    <row r="25" spans="1:15" x14ac:dyDescent="0.25">
      <c r="A25" s="7" t="s">
        <v>273</v>
      </c>
      <c r="B25" s="8" t="str">
        <f>Lists!B24</f>
        <v>Cameron Thorne</v>
      </c>
      <c r="C25" s="22">
        <f>IF(COUNTIFS(Lists!$N$5:$N$7,$A25,Lists!$O$5:$O$7,C$5)&gt;0,"LEAVE",IF(SUMIFS(Time_Entries!$J$5:$J$332,Time_Entries!$B$5:$B$332,$A25,Time_Entries!$E$5:$E$332,C$5,Time_Entries!$N$5:$N$332,"")=0,"MISSING",SUMIFS(Time_Entries!$J$5:$J$332,Time_Entries!$B$5:$B$332,$A25,Time_Entries!$E$5:$E$332,C$5,Time_Entries!$N$5:$N$332,"")))</f>
        <v>8</v>
      </c>
      <c r="D25" s="22">
        <f>IF(COUNTIFS(Lists!$N$5:$N$7,$A25,Lists!$O$5:$O$7,D$5)&gt;0,"LEAVE",IF(SUMIFS(Time_Entries!$J$5:$J$332,Time_Entries!$B$5:$B$332,$A25,Time_Entries!$E$5:$E$332,D$5,Time_Entries!$N$5:$N$332,"")=0,"MISSING",SUMIFS(Time_Entries!$J$5:$J$332,Time_Entries!$B$5:$B$332,$A25,Time_Entries!$E$5:$E$332,D$5,Time_Entries!$N$5:$N$332,"")))</f>
        <v>8</v>
      </c>
      <c r="E25" s="22">
        <f>IF(COUNTIFS(Lists!$N$5:$N$7,$A25,Lists!$O$5:$O$7,E$5)&gt;0,"LEAVE",IF(SUMIFS(Time_Entries!$J$5:$J$332,Time_Entries!$B$5:$B$332,$A25,Time_Entries!$E$5:$E$332,E$5,Time_Entries!$N$5:$N$332,"")=0,"MISSING",SUMIFS(Time_Entries!$J$5:$J$332,Time_Entries!$B$5:$B$332,$A25,Time_Entries!$E$5:$E$332,E$5,Time_Entries!$N$5:$N$332,"")))</f>
        <v>8</v>
      </c>
      <c r="F25" s="22">
        <f>IF(COUNTIFS(Lists!$N$5:$N$7,$A25,Lists!$O$5:$O$7,F$5)&gt;0,"LEAVE",IF(SUMIFS(Time_Entries!$J$5:$J$332,Time_Entries!$B$5:$B$332,$A25,Time_Entries!$E$5:$E$332,F$5,Time_Entries!$N$5:$N$332,"")=0,"MISSING",SUMIFS(Time_Entries!$J$5:$J$332,Time_Entries!$B$5:$B$332,$A25,Time_Entries!$E$5:$E$332,F$5,Time_Entries!$N$5:$N$332,"")))</f>
        <v>8</v>
      </c>
      <c r="G25" s="22">
        <f>IF(COUNTIFS(Lists!$N$5:$N$7,$A25,Lists!$O$5:$O$7,G$5)&gt;0,"LEAVE",IF(SUMIFS(Time_Entries!$J$5:$J$332,Time_Entries!$B$5:$B$332,$A25,Time_Entries!$E$5:$E$332,G$5,Time_Entries!$N$5:$N$332,"")=0,"MISSING",SUMIFS(Time_Entries!$J$5:$J$332,Time_Entries!$B$5:$B$332,$A25,Time_Entries!$E$5:$E$332,G$5,Time_Entries!$N$5:$N$332,"")))</f>
        <v>8</v>
      </c>
      <c r="H25" s="22">
        <f>IF(COUNTIFS(Lists!$N$5:$N$7,$A25,Lists!$O$5:$O$7,H$5)&gt;0,"LEAVE",IF(SUMIFS(Time_Entries!$J$5:$J$332,Time_Entries!$B$5:$B$332,$A25,Time_Entries!$E$5:$E$332,H$5,Time_Entries!$N$5:$N$332,"")=0,"MISSING",SUMIFS(Time_Entries!$J$5:$J$332,Time_Entries!$B$5:$B$332,$A25,Time_Entries!$E$5:$E$332,H$5,Time_Entries!$N$5:$N$332,"")))</f>
        <v>8</v>
      </c>
      <c r="I25" s="22">
        <f>IF(COUNTIFS(Lists!$N$5:$N$7,$A25,Lists!$O$5:$O$7,I$5)&gt;0,"LEAVE",IF(SUMIFS(Time_Entries!$J$5:$J$332,Time_Entries!$B$5:$B$332,$A25,Time_Entries!$E$5:$E$332,I$5,Time_Entries!$N$5:$N$332,"")=0,"MISSING",SUMIFS(Time_Entries!$J$5:$J$332,Time_Entries!$B$5:$B$332,$A25,Time_Entries!$E$5:$E$332,I$5,Time_Entries!$N$5:$N$332,"")))</f>
        <v>8</v>
      </c>
      <c r="J25" s="22">
        <f>IF(COUNTIFS(Lists!$N$5:$N$7,$A25,Lists!$O$5:$O$7,J$5)&gt;0,"LEAVE",IF(SUMIFS(Time_Entries!$J$5:$J$332,Time_Entries!$B$5:$B$332,$A25,Time_Entries!$E$5:$E$332,J$5,Time_Entries!$N$5:$N$332,"")=0,"MISSING",SUMIFS(Time_Entries!$J$5:$J$332,Time_Entries!$B$5:$B$332,$A25,Time_Entries!$E$5:$E$332,J$5,Time_Entries!$N$5:$N$332,"")))</f>
        <v>8</v>
      </c>
      <c r="K25" s="22">
        <f>IF(COUNTIFS(Lists!$N$5:$N$7,$A25,Lists!$O$5:$O$7,K$5)&gt;0,"LEAVE",IF(SUMIFS(Time_Entries!$J$5:$J$332,Time_Entries!$B$5:$B$332,$A25,Time_Entries!$E$5:$E$332,K$5,Time_Entries!$N$5:$N$332,"")=0,"MISSING",SUMIFS(Time_Entries!$J$5:$J$332,Time_Entries!$B$5:$B$332,$A25,Time_Entries!$E$5:$E$332,K$5,Time_Entries!$N$5:$N$332,"")))</f>
        <v>8</v>
      </c>
      <c r="L25" s="22">
        <f>IF(COUNTIFS(Lists!$N$5:$N$7,$A25,Lists!$O$5:$O$7,L$5)&gt;0,"LEAVE",IF(SUMIFS(Time_Entries!$J$5:$J$332,Time_Entries!$B$5:$B$332,$A25,Time_Entries!$E$5:$E$332,L$5,Time_Entries!$N$5:$N$332,"")=0,"MISSING",SUMIFS(Time_Entries!$J$5:$J$332,Time_Entries!$B$5:$B$332,$A25,Time_Entries!$E$5:$E$332,L$5,Time_Entries!$N$5:$N$332,"")))</f>
        <v>8</v>
      </c>
      <c r="M25" s="23">
        <f t="shared" si="0"/>
        <v>80</v>
      </c>
      <c r="N25" s="23">
        <f t="shared" si="1"/>
        <v>80</v>
      </c>
      <c r="O25" s="18">
        <f t="shared" si="2"/>
        <v>0</v>
      </c>
    </row>
    <row r="26" spans="1:15" x14ac:dyDescent="0.25">
      <c r="A26" s="7" t="s">
        <v>284</v>
      </c>
      <c r="B26" s="8" t="str">
        <f>Lists!B25</f>
        <v>Blake Underhill</v>
      </c>
      <c r="C26" s="22">
        <f>IF(COUNTIFS(Lists!$N$5:$N$7,$A26,Lists!$O$5:$O$7,C$5)&gt;0,"LEAVE",IF(SUMIFS(Time_Entries!$J$5:$J$332,Time_Entries!$B$5:$B$332,$A26,Time_Entries!$E$5:$E$332,C$5,Time_Entries!$N$5:$N$332,"")=0,"MISSING",SUMIFS(Time_Entries!$J$5:$J$332,Time_Entries!$B$5:$B$332,$A26,Time_Entries!$E$5:$E$332,C$5,Time_Entries!$N$5:$N$332,"")))</f>
        <v>8</v>
      </c>
      <c r="D26" s="22">
        <f>IF(COUNTIFS(Lists!$N$5:$N$7,$A26,Lists!$O$5:$O$7,D$5)&gt;0,"LEAVE",IF(SUMIFS(Time_Entries!$J$5:$J$332,Time_Entries!$B$5:$B$332,$A26,Time_Entries!$E$5:$E$332,D$5,Time_Entries!$N$5:$N$332,"")=0,"MISSING",SUMIFS(Time_Entries!$J$5:$J$332,Time_Entries!$B$5:$B$332,$A26,Time_Entries!$E$5:$E$332,D$5,Time_Entries!$N$5:$N$332,"")))</f>
        <v>8</v>
      </c>
      <c r="E26" s="22">
        <f>IF(COUNTIFS(Lists!$N$5:$N$7,$A26,Lists!$O$5:$O$7,E$5)&gt;0,"LEAVE",IF(SUMIFS(Time_Entries!$J$5:$J$332,Time_Entries!$B$5:$B$332,$A26,Time_Entries!$E$5:$E$332,E$5,Time_Entries!$N$5:$N$332,"")=0,"MISSING",SUMIFS(Time_Entries!$J$5:$J$332,Time_Entries!$B$5:$B$332,$A26,Time_Entries!$E$5:$E$332,E$5,Time_Entries!$N$5:$N$332,"")))</f>
        <v>8</v>
      </c>
      <c r="F26" s="22">
        <f>IF(COUNTIFS(Lists!$N$5:$N$7,$A26,Lists!$O$5:$O$7,F$5)&gt;0,"LEAVE",IF(SUMIFS(Time_Entries!$J$5:$J$332,Time_Entries!$B$5:$B$332,$A26,Time_Entries!$E$5:$E$332,F$5,Time_Entries!$N$5:$N$332,"")=0,"MISSING",SUMIFS(Time_Entries!$J$5:$J$332,Time_Entries!$B$5:$B$332,$A26,Time_Entries!$E$5:$E$332,F$5,Time_Entries!$N$5:$N$332,"")))</f>
        <v>8</v>
      </c>
      <c r="G26" s="22">
        <f>IF(COUNTIFS(Lists!$N$5:$N$7,$A26,Lists!$O$5:$O$7,G$5)&gt;0,"LEAVE",IF(SUMIFS(Time_Entries!$J$5:$J$332,Time_Entries!$B$5:$B$332,$A26,Time_Entries!$E$5:$E$332,G$5,Time_Entries!$N$5:$N$332,"")=0,"MISSING",SUMIFS(Time_Entries!$J$5:$J$332,Time_Entries!$B$5:$B$332,$A26,Time_Entries!$E$5:$E$332,G$5,Time_Entries!$N$5:$N$332,"")))</f>
        <v>8</v>
      </c>
      <c r="H26" s="22">
        <f>IF(COUNTIFS(Lists!$N$5:$N$7,$A26,Lists!$O$5:$O$7,H$5)&gt;0,"LEAVE",IF(SUMIFS(Time_Entries!$J$5:$J$332,Time_Entries!$B$5:$B$332,$A26,Time_Entries!$E$5:$E$332,H$5,Time_Entries!$N$5:$N$332,"")=0,"MISSING",SUMIFS(Time_Entries!$J$5:$J$332,Time_Entries!$B$5:$B$332,$A26,Time_Entries!$E$5:$E$332,H$5,Time_Entries!$N$5:$N$332,"")))</f>
        <v>8</v>
      </c>
      <c r="I26" s="22">
        <f>IF(COUNTIFS(Lists!$N$5:$N$7,$A26,Lists!$O$5:$O$7,I$5)&gt;0,"LEAVE",IF(SUMIFS(Time_Entries!$J$5:$J$332,Time_Entries!$B$5:$B$332,$A26,Time_Entries!$E$5:$E$332,I$5,Time_Entries!$N$5:$N$332,"")=0,"MISSING",SUMIFS(Time_Entries!$J$5:$J$332,Time_Entries!$B$5:$B$332,$A26,Time_Entries!$E$5:$E$332,I$5,Time_Entries!$N$5:$N$332,"")))</f>
        <v>8</v>
      </c>
      <c r="J26" s="22">
        <f>IF(COUNTIFS(Lists!$N$5:$N$7,$A26,Lists!$O$5:$O$7,J$5)&gt;0,"LEAVE",IF(SUMIFS(Time_Entries!$J$5:$J$332,Time_Entries!$B$5:$B$332,$A26,Time_Entries!$E$5:$E$332,J$5,Time_Entries!$N$5:$N$332,"")=0,"MISSING",SUMIFS(Time_Entries!$J$5:$J$332,Time_Entries!$B$5:$B$332,$A26,Time_Entries!$E$5:$E$332,J$5,Time_Entries!$N$5:$N$332,"")))</f>
        <v>14.5</v>
      </c>
      <c r="K26" s="22">
        <f>IF(COUNTIFS(Lists!$N$5:$N$7,$A26,Lists!$O$5:$O$7,K$5)&gt;0,"LEAVE",IF(SUMIFS(Time_Entries!$J$5:$J$332,Time_Entries!$B$5:$B$332,$A26,Time_Entries!$E$5:$E$332,K$5,Time_Entries!$N$5:$N$332,"")=0,"MISSING",SUMIFS(Time_Entries!$J$5:$J$332,Time_Entries!$B$5:$B$332,$A26,Time_Entries!$E$5:$E$332,K$5,Time_Entries!$N$5:$N$332,"")))</f>
        <v>8</v>
      </c>
      <c r="L26" s="22">
        <f>IF(COUNTIFS(Lists!$N$5:$N$7,$A26,Lists!$O$5:$O$7,L$5)&gt;0,"LEAVE",IF(SUMIFS(Time_Entries!$J$5:$J$332,Time_Entries!$B$5:$B$332,$A26,Time_Entries!$E$5:$E$332,L$5,Time_Entries!$N$5:$N$332,"")=0,"MISSING",SUMIFS(Time_Entries!$J$5:$J$332,Time_Entries!$B$5:$B$332,$A26,Time_Entries!$E$5:$E$332,L$5,Time_Entries!$N$5:$N$332,"")))</f>
        <v>8</v>
      </c>
      <c r="M26" s="23">
        <f t="shared" si="0"/>
        <v>86.5</v>
      </c>
      <c r="N26" s="23">
        <f t="shared" si="1"/>
        <v>80</v>
      </c>
      <c r="O26" s="18">
        <f t="shared" si="2"/>
        <v>6.5</v>
      </c>
    </row>
    <row r="27" spans="1:15" x14ac:dyDescent="0.25">
      <c r="A27" s="7" t="s">
        <v>295</v>
      </c>
      <c r="B27" s="8" t="str">
        <f>Lists!B26</f>
        <v>Drew Vance</v>
      </c>
      <c r="C27" s="22">
        <f>IF(COUNTIFS(Lists!$N$5:$N$7,$A27,Lists!$O$5:$O$7,C$5)&gt;0,"LEAVE",IF(SUMIFS(Time_Entries!$J$5:$J$332,Time_Entries!$B$5:$B$332,$A27,Time_Entries!$E$5:$E$332,C$5,Time_Entries!$N$5:$N$332,"")=0,"MISSING",SUMIFS(Time_Entries!$J$5:$J$332,Time_Entries!$B$5:$B$332,$A27,Time_Entries!$E$5:$E$332,C$5,Time_Entries!$N$5:$N$332,"")))</f>
        <v>8</v>
      </c>
      <c r="D27" s="22">
        <f>IF(COUNTIFS(Lists!$N$5:$N$7,$A27,Lists!$O$5:$O$7,D$5)&gt;0,"LEAVE",IF(SUMIFS(Time_Entries!$J$5:$J$332,Time_Entries!$B$5:$B$332,$A27,Time_Entries!$E$5:$E$332,D$5,Time_Entries!$N$5:$N$332,"")=0,"MISSING",SUMIFS(Time_Entries!$J$5:$J$332,Time_Entries!$B$5:$B$332,$A27,Time_Entries!$E$5:$E$332,D$5,Time_Entries!$N$5:$N$332,"")))</f>
        <v>8</v>
      </c>
      <c r="E27" s="22">
        <f>IF(COUNTIFS(Lists!$N$5:$N$7,$A27,Lists!$O$5:$O$7,E$5)&gt;0,"LEAVE",IF(SUMIFS(Time_Entries!$J$5:$J$332,Time_Entries!$B$5:$B$332,$A27,Time_Entries!$E$5:$E$332,E$5,Time_Entries!$N$5:$N$332,"")=0,"MISSING",SUMIFS(Time_Entries!$J$5:$J$332,Time_Entries!$B$5:$B$332,$A27,Time_Entries!$E$5:$E$332,E$5,Time_Entries!$N$5:$N$332,"")))</f>
        <v>8</v>
      </c>
      <c r="F27" s="22">
        <f>IF(COUNTIFS(Lists!$N$5:$N$7,$A27,Lists!$O$5:$O$7,F$5)&gt;0,"LEAVE",IF(SUMIFS(Time_Entries!$J$5:$J$332,Time_Entries!$B$5:$B$332,$A27,Time_Entries!$E$5:$E$332,F$5,Time_Entries!$N$5:$N$332,"")=0,"MISSING",SUMIFS(Time_Entries!$J$5:$J$332,Time_Entries!$B$5:$B$332,$A27,Time_Entries!$E$5:$E$332,F$5,Time_Entries!$N$5:$N$332,"")))</f>
        <v>8</v>
      </c>
      <c r="G27" s="22">
        <f>IF(COUNTIFS(Lists!$N$5:$N$7,$A27,Lists!$O$5:$O$7,G$5)&gt;0,"LEAVE",IF(SUMIFS(Time_Entries!$J$5:$J$332,Time_Entries!$B$5:$B$332,$A27,Time_Entries!$E$5:$E$332,G$5,Time_Entries!$N$5:$N$332,"")=0,"MISSING",SUMIFS(Time_Entries!$J$5:$J$332,Time_Entries!$B$5:$B$332,$A27,Time_Entries!$E$5:$E$332,G$5,Time_Entries!$N$5:$N$332,"")))</f>
        <v>8</v>
      </c>
      <c r="H27" s="22">
        <f>IF(COUNTIFS(Lists!$N$5:$N$7,$A27,Lists!$O$5:$O$7,H$5)&gt;0,"LEAVE",IF(SUMIFS(Time_Entries!$J$5:$J$332,Time_Entries!$B$5:$B$332,$A27,Time_Entries!$E$5:$E$332,H$5,Time_Entries!$N$5:$N$332,"")=0,"MISSING",SUMIFS(Time_Entries!$J$5:$J$332,Time_Entries!$B$5:$B$332,$A27,Time_Entries!$E$5:$E$332,H$5,Time_Entries!$N$5:$N$332,"")))</f>
        <v>8</v>
      </c>
      <c r="I27" s="22">
        <f>IF(COUNTIFS(Lists!$N$5:$N$7,$A27,Lists!$O$5:$O$7,I$5)&gt;0,"LEAVE",IF(SUMIFS(Time_Entries!$J$5:$J$332,Time_Entries!$B$5:$B$332,$A27,Time_Entries!$E$5:$E$332,I$5,Time_Entries!$N$5:$N$332,"")=0,"MISSING",SUMIFS(Time_Entries!$J$5:$J$332,Time_Entries!$B$5:$B$332,$A27,Time_Entries!$E$5:$E$332,I$5,Time_Entries!$N$5:$N$332,"")))</f>
        <v>8</v>
      </c>
      <c r="J27" s="22">
        <f>IF(COUNTIFS(Lists!$N$5:$N$7,$A27,Lists!$O$5:$O$7,J$5)&gt;0,"LEAVE",IF(SUMIFS(Time_Entries!$J$5:$J$332,Time_Entries!$B$5:$B$332,$A27,Time_Entries!$E$5:$E$332,J$5,Time_Entries!$N$5:$N$332,"")=0,"MISSING",SUMIFS(Time_Entries!$J$5:$J$332,Time_Entries!$B$5:$B$332,$A27,Time_Entries!$E$5:$E$332,J$5,Time_Entries!$N$5:$N$332,"")))</f>
        <v>8</v>
      </c>
      <c r="K27" s="22">
        <f>IF(COUNTIFS(Lists!$N$5:$N$7,$A27,Lists!$O$5:$O$7,K$5)&gt;0,"LEAVE",IF(SUMIFS(Time_Entries!$J$5:$J$332,Time_Entries!$B$5:$B$332,$A27,Time_Entries!$E$5:$E$332,K$5,Time_Entries!$N$5:$N$332,"")=0,"MISSING",SUMIFS(Time_Entries!$J$5:$J$332,Time_Entries!$B$5:$B$332,$A27,Time_Entries!$E$5:$E$332,K$5,Time_Entries!$N$5:$N$332,"")))</f>
        <v>8</v>
      </c>
      <c r="L27" s="22">
        <f>IF(COUNTIFS(Lists!$N$5:$N$7,$A27,Lists!$O$5:$O$7,L$5)&gt;0,"LEAVE",IF(SUMIFS(Time_Entries!$J$5:$J$332,Time_Entries!$B$5:$B$332,$A27,Time_Entries!$E$5:$E$332,L$5,Time_Entries!$N$5:$N$332,"")=0,"MISSING",SUMIFS(Time_Entries!$J$5:$J$332,Time_Entries!$B$5:$B$332,$A27,Time_Entries!$E$5:$E$332,L$5,Time_Entries!$N$5:$N$332,"")))</f>
        <v>8</v>
      </c>
      <c r="M27" s="23">
        <f t="shared" si="0"/>
        <v>80</v>
      </c>
      <c r="N27" s="23">
        <f t="shared" si="1"/>
        <v>80</v>
      </c>
      <c r="O27" s="18">
        <f t="shared" si="2"/>
        <v>0</v>
      </c>
    </row>
    <row r="28" spans="1:15" x14ac:dyDescent="0.25">
      <c r="A28" s="7" t="s">
        <v>307</v>
      </c>
      <c r="B28" s="8" t="str">
        <f>Lists!B27</f>
        <v>Ellis Whitlock</v>
      </c>
      <c r="C28" s="22">
        <f>IF(COUNTIFS(Lists!$N$5:$N$7,$A28,Lists!$O$5:$O$7,C$5)&gt;0,"LEAVE",IF(SUMIFS(Time_Entries!$J$5:$J$332,Time_Entries!$B$5:$B$332,$A28,Time_Entries!$E$5:$E$332,C$5,Time_Entries!$N$5:$N$332,"")=0,"MISSING",SUMIFS(Time_Entries!$J$5:$J$332,Time_Entries!$B$5:$B$332,$A28,Time_Entries!$E$5:$E$332,C$5,Time_Entries!$N$5:$N$332,"")))</f>
        <v>8</v>
      </c>
      <c r="D28" s="22">
        <f>IF(COUNTIFS(Lists!$N$5:$N$7,$A28,Lists!$O$5:$O$7,D$5)&gt;0,"LEAVE",IF(SUMIFS(Time_Entries!$J$5:$J$332,Time_Entries!$B$5:$B$332,$A28,Time_Entries!$E$5:$E$332,D$5,Time_Entries!$N$5:$N$332,"")=0,"MISSING",SUMIFS(Time_Entries!$J$5:$J$332,Time_Entries!$B$5:$B$332,$A28,Time_Entries!$E$5:$E$332,D$5,Time_Entries!$N$5:$N$332,"")))</f>
        <v>8</v>
      </c>
      <c r="E28" s="22">
        <f>IF(COUNTIFS(Lists!$N$5:$N$7,$A28,Lists!$O$5:$O$7,E$5)&gt;0,"LEAVE",IF(SUMIFS(Time_Entries!$J$5:$J$332,Time_Entries!$B$5:$B$332,$A28,Time_Entries!$E$5:$E$332,E$5,Time_Entries!$N$5:$N$332,"")=0,"MISSING",SUMIFS(Time_Entries!$J$5:$J$332,Time_Entries!$B$5:$B$332,$A28,Time_Entries!$E$5:$E$332,E$5,Time_Entries!$N$5:$N$332,"")))</f>
        <v>8</v>
      </c>
      <c r="F28" s="22">
        <f>IF(COUNTIFS(Lists!$N$5:$N$7,$A28,Lists!$O$5:$O$7,F$5)&gt;0,"LEAVE",IF(SUMIFS(Time_Entries!$J$5:$J$332,Time_Entries!$B$5:$B$332,$A28,Time_Entries!$E$5:$E$332,F$5,Time_Entries!$N$5:$N$332,"")=0,"MISSING",SUMIFS(Time_Entries!$J$5:$J$332,Time_Entries!$B$5:$B$332,$A28,Time_Entries!$E$5:$E$332,F$5,Time_Entries!$N$5:$N$332,"")))</f>
        <v>8</v>
      </c>
      <c r="G28" s="22">
        <f>IF(COUNTIFS(Lists!$N$5:$N$7,$A28,Lists!$O$5:$O$7,G$5)&gt;0,"LEAVE",IF(SUMIFS(Time_Entries!$J$5:$J$332,Time_Entries!$B$5:$B$332,$A28,Time_Entries!$E$5:$E$332,G$5,Time_Entries!$N$5:$N$332,"")=0,"MISSING",SUMIFS(Time_Entries!$J$5:$J$332,Time_Entries!$B$5:$B$332,$A28,Time_Entries!$E$5:$E$332,G$5,Time_Entries!$N$5:$N$332,"")))</f>
        <v>8</v>
      </c>
      <c r="H28" s="22">
        <f>IF(COUNTIFS(Lists!$N$5:$N$7,$A28,Lists!$O$5:$O$7,H$5)&gt;0,"LEAVE",IF(SUMIFS(Time_Entries!$J$5:$J$332,Time_Entries!$B$5:$B$332,$A28,Time_Entries!$E$5:$E$332,H$5,Time_Entries!$N$5:$N$332,"")=0,"MISSING",SUMIFS(Time_Entries!$J$5:$J$332,Time_Entries!$B$5:$B$332,$A28,Time_Entries!$E$5:$E$332,H$5,Time_Entries!$N$5:$N$332,"")))</f>
        <v>8</v>
      </c>
      <c r="I28" s="22">
        <f>IF(COUNTIFS(Lists!$N$5:$N$7,$A28,Lists!$O$5:$O$7,I$5)&gt;0,"LEAVE",IF(SUMIFS(Time_Entries!$J$5:$J$332,Time_Entries!$B$5:$B$332,$A28,Time_Entries!$E$5:$E$332,I$5,Time_Entries!$N$5:$N$332,"")=0,"MISSING",SUMIFS(Time_Entries!$J$5:$J$332,Time_Entries!$B$5:$B$332,$A28,Time_Entries!$E$5:$E$332,I$5,Time_Entries!$N$5:$N$332,"")))</f>
        <v>8</v>
      </c>
      <c r="J28" s="22">
        <f>IF(COUNTIFS(Lists!$N$5:$N$7,$A28,Lists!$O$5:$O$7,J$5)&gt;0,"LEAVE",IF(SUMIFS(Time_Entries!$J$5:$J$332,Time_Entries!$B$5:$B$332,$A28,Time_Entries!$E$5:$E$332,J$5,Time_Entries!$N$5:$N$332,"")=0,"MISSING",SUMIFS(Time_Entries!$J$5:$J$332,Time_Entries!$B$5:$B$332,$A28,Time_Entries!$E$5:$E$332,J$5,Time_Entries!$N$5:$N$332,"")))</f>
        <v>8</v>
      </c>
      <c r="K28" s="22" t="str">
        <f>IF(COUNTIFS(Lists!$N$5:$N$7,$A28,Lists!$O$5:$O$7,K$5)&gt;0,"LEAVE",IF(SUMIFS(Time_Entries!$J$5:$J$332,Time_Entries!$B$5:$B$332,$A28,Time_Entries!$E$5:$E$332,K$5,Time_Entries!$N$5:$N$332,"")=0,"MISSING",SUMIFS(Time_Entries!$J$5:$J$332,Time_Entries!$B$5:$B$332,$A28,Time_Entries!$E$5:$E$332,K$5,Time_Entries!$N$5:$N$332,"")))</f>
        <v>LEAVE</v>
      </c>
      <c r="L28" s="22">
        <f>IF(COUNTIFS(Lists!$N$5:$N$7,$A28,Lists!$O$5:$O$7,L$5)&gt;0,"LEAVE",IF(SUMIFS(Time_Entries!$J$5:$J$332,Time_Entries!$B$5:$B$332,$A28,Time_Entries!$E$5:$E$332,L$5,Time_Entries!$N$5:$N$332,"")=0,"MISSING",SUMIFS(Time_Entries!$J$5:$J$332,Time_Entries!$B$5:$B$332,$A28,Time_Entries!$E$5:$E$332,L$5,Time_Entries!$N$5:$N$332,"")))</f>
        <v>8</v>
      </c>
      <c r="M28" s="23">
        <f t="shared" si="0"/>
        <v>72</v>
      </c>
      <c r="N28" s="23">
        <f t="shared" si="1"/>
        <v>72</v>
      </c>
      <c r="O28" s="18">
        <f t="shared" si="2"/>
        <v>0</v>
      </c>
    </row>
    <row r="29" spans="1:15" x14ac:dyDescent="0.25">
      <c r="A29" s="7" t="s">
        <v>317</v>
      </c>
      <c r="B29" s="8" t="str">
        <f>Lists!B28</f>
        <v>Hayden Yardley</v>
      </c>
      <c r="C29" s="22">
        <f>IF(COUNTIFS(Lists!$N$5:$N$7,$A29,Lists!$O$5:$O$7,C$5)&gt;0,"LEAVE",IF(SUMIFS(Time_Entries!$J$5:$J$332,Time_Entries!$B$5:$B$332,$A29,Time_Entries!$E$5:$E$332,C$5,Time_Entries!$N$5:$N$332,"")=0,"MISSING",SUMIFS(Time_Entries!$J$5:$J$332,Time_Entries!$B$5:$B$332,$A29,Time_Entries!$E$5:$E$332,C$5,Time_Entries!$N$5:$N$332,"")))</f>
        <v>8</v>
      </c>
      <c r="D29" s="22">
        <f>IF(COUNTIFS(Lists!$N$5:$N$7,$A29,Lists!$O$5:$O$7,D$5)&gt;0,"LEAVE",IF(SUMIFS(Time_Entries!$J$5:$J$332,Time_Entries!$B$5:$B$332,$A29,Time_Entries!$E$5:$E$332,D$5,Time_Entries!$N$5:$N$332,"")=0,"MISSING",SUMIFS(Time_Entries!$J$5:$J$332,Time_Entries!$B$5:$B$332,$A29,Time_Entries!$E$5:$E$332,D$5,Time_Entries!$N$5:$N$332,"")))</f>
        <v>8</v>
      </c>
      <c r="E29" s="22">
        <f>IF(COUNTIFS(Lists!$N$5:$N$7,$A29,Lists!$O$5:$O$7,E$5)&gt;0,"LEAVE",IF(SUMIFS(Time_Entries!$J$5:$J$332,Time_Entries!$B$5:$B$332,$A29,Time_Entries!$E$5:$E$332,E$5,Time_Entries!$N$5:$N$332,"")=0,"MISSING",SUMIFS(Time_Entries!$J$5:$J$332,Time_Entries!$B$5:$B$332,$A29,Time_Entries!$E$5:$E$332,E$5,Time_Entries!$N$5:$N$332,"")))</f>
        <v>8</v>
      </c>
      <c r="F29" s="22">
        <f>IF(COUNTIFS(Lists!$N$5:$N$7,$A29,Lists!$O$5:$O$7,F$5)&gt;0,"LEAVE",IF(SUMIFS(Time_Entries!$J$5:$J$332,Time_Entries!$B$5:$B$332,$A29,Time_Entries!$E$5:$E$332,F$5,Time_Entries!$N$5:$N$332,"")=0,"MISSING",SUMIFS(Time_Entries!$J$5:$J$332,Time_Entries!$B$5:$B$332,$A29,Time_Entries!$E$5:$E$332,F$5,Time_Entries!$N$5:$N$332,"")))</f>
        <v>8</v>
      </c>
      <c r="G29" s="22">
        <f>IF(COUNTIFS(Lists!$N$5:$N$7,$A29,Lists!$O$5:$O$7,G$5)&gt;0,"LEAVE",IF(SUMIFS(Time_Entries!$J$5:$J$332,Time_Entries!$B$5:$B$332,$A29,Time_Entries!$E$5:$E$332,G$5,Time_Entries!$N$5:$N$332,"")=0,"MISSING",SUMIFS(Time_Entries!$J$5:$J$332,Time_Entries!$B$5:$B$332,$A29,Time_Entries!$E$5:$E$332,G$5,Time_Entries!$N$5:$N$332,"")))</f>
        <v>8</v>
      </c>
      <c r="H29" s="22">
        <f>IF(COUNTIFS(Lists!$N$5:$N$7,$A29,Lists!$O$5:$O$7,H$5)&gt;0,"LEAVE",IF(SUMIFS(Time_Entries!$J$5:$J$332,Time_Entries!$B$5:$B$332,$A29,Time_Entries!$E$5:$E$332,H$5,Time_Entries!$N$5:$N$332,"")=0,"MISSING",SUMIFS(Time_Entries!$J$5:$J$332,Time_Entries!$B$5:$B$332,$A29,Time_Entries!$E$5:$E$332,H$5,Time_Entries!$N$5:$N$332,"")))</f>
        <v>8</v>
      </c>
      <c r="I29" s="22">
        <f>IF(COUNTIFS(Lists!$N$5:$N$7,$A29,Lists!$O$5:$O$7,I$5)&gt;0,"LEAVE",IF(SUMIFS(Time_Entries!$J$5:$J$332,Time_Entries!$B$5:$B$332,$A29,Time_Entries!$E$5:$E$332,I$5,Time_Entries!$N$5:$N$332,"")=0,"MISSING",SUMIFS(Time_Entries!$J$5:$J$332,Time_Entries!$B$5:$B$332,$A29,Time_Entries!$E$5:$E$332,I$5,Time_Entries!$N$5:$N$332,"")))</f>
        <v>8</v>
      </c>
      <c r="J29" s="22">
        <f>IF(COUNTIFS(Lists!$N$5:$N$7,$A29,Lists!$O$5:$O$7,J$5)&gt;0,"LEAVE",IF(SUMIFS(Time_Entries!$J$5:$J$332,Time_Entries!$B$5:$B$332,$A29,Time_Entries!$E$5:$E$332,J$5,Time_Entries!$N$5:$N$332,"")=0,"MISSING",SUMIFS(Time_Entries!$J$5:$J$332,Time_Entries!$B$5:$B$332,$A29,Time_Entries!$E$5:$E$332,J$5,Time_Entries!$N$5:$N$332,"")))</f>
        <v>8</v>
      </c>
      <c r="K29" s="22">
        <f>IF(COUNTIFS(Lists!$N$5:$N$7,$A29,Lists!$O$5:$O$7,K$5)&gt;0,"LEAVE",IF(SUMIFS(Time_Entries!$J$5:$J$332,Time_Entries!$B$5:$B$332,$A29,Time_Entries!$E$5:$E$332,K$5,Time_Entries!$N$5:$N$332,"")=0,"MISSING",SUMIFS(Time_Entries!$J$5:$J$332,Time_Entries!$B$5:$B$332,$A29,Time_Entries!$E$5:$E$332,K$5,Time_Entries!$N$5:$N$332,"")))</f>
        <v>8</v>
      </c>
      <c r="L29" s="22">
        <f>IF(COUNTIFS(Lists!$N$5:$N$7,$A29,Lists!$O$5:$O$7,L$5)&gt;0,"LEAVE",IF(SUMIFS(Time_Entries!$J$5:$J$332,Time_Entries!$B$5:$B$332,$A29,Time_Entries!$E$5:$E$332,L$5,Time_Entries!$N$5:$N$332,"")=0,"MISSING",SUMIFS(Time_Entries!$J$5:$J$332,Time_Entries!$B$5:$B$332,$A29,Time_Entries!$E$5:$E$332,L$5,Time_Entries!$N$5:$N$332,"")))</f>
        <v>8</v>
      </c>
      <c r="M29" s="23">
        <f t="shared" si="0"/>
        <v>80</v>
      </c>
      <c r="N29" s="23">
        <f t="shared" si="1"/>
        <v>80</v>
      </c>
      <c r="O29" s="18">
        <f t="shared" si="2"/>
        <v>0</v>
      </c>
    </row>
    <row r="30" spans="1:15" x14ac:dyDescent="0.25">
      <c r="A30" s="7" t="s">
        <v>329</v>
      </c>
      <c r="B30" s="8" t="str">
        <f>Lists!B29</f>
        <v>Jesse Zeller</v>
      </c>
      <c r="C30" s="22">
        <f>IF(COUNTIFS(Lists!$N$5:$N$7,$A30,Lists!$O$5:$O$7,C$5)&gt;0,"LEAVE",IF(SUMIFS(Time_Entries!$J$5:$J$332,Time_Entries!$B$5:$B$332,$A30,Time_Entries!$E$5:$E$332,C$5,Time_Entries!$N$5:$N$332,"")=0,"MISSING",SUMIFS(Time_Entries!$J$5:$J$332,Time_Entries!$B$5:$B$332,$A30,Time_Entries!$E$5:$E$332,C$5,Time_Entries!$N$5:$N$332,"")))</f>
        <v>8</v>
      </c>
      <c r="D30" s="22">
        <f>IF(COUNTIFS(Lists!$N$5:$N$7,$A30,Lists!$O$5:$O$7,D$5)&gt;0,"LEAVE",IF(SUMIFS(Time_Entries!$J$5:$J$332,Time_Entries!$B$5:$B$332,$A30,Time_Entries!$E$5:$E$332,D$5,Time_Entries!$N$5:$N$332,"")=0,"MISSING",SUMIFS(Time_Entries!$J$5:$J$332,Time_Entries!$B$5:$B$332,$A30,Time_Entries!$E$5:$E$332,D$5,Time_Entries!$N$5:$N$332,"")))</f>
        <v>8</v>
      </c>
      <c r="E30" s="22">
        <f>IF(COUNTIFS(Lists!$N$5:$N$7,$A30,Lists!$O$5:$O$7,E$5)&gt;0,"LEAVE",IF(SUMIFS(Time_Entries!$J$5:$J$332,Time_Entries!$B$5:$B$332,$A30,Time_Entries!$E$5:$E$332,E$5,Time_Entries!$N$5:$N$332,"")=0,"MISSING",SUMIFS(Time_Entries!$J$5:$J$332,Time_Entries!$B$5:$B$332,$A30,Time_Entries!$E$5:$E$332,E$5,Time_Entries!$N$5:$N$332,"")))</f>
        <v>8</v>
      </c>
      <c r="F30" s="22">
        <f>IF(COUNTIFS(Lists!$N$5:$N$7,$A30,Lists!$O$5:$O$7,F$5)&gt;0,"LEAVE",IF(SUMIFS(Time_Entries!$J$5:$J$332,Time_Entries!$B$5:$B$332,$A30,Time_Entries!$E$5:$E$332,F$5,Time_Entries!$N$5:$N$332,"")=0,"MISSING",SUMIFS(Time_Entries!$J$5:$J$332,Time_Entries!$B$5:$B$332,$A30,Time_Entries!$E$5:$E$332,F$5,Time_Entries!$N$5:$N$332,"")))</f>
        <v>8</v>
      </c>
      <c r="G30" s="22">
        <f>IF(COUNTIFS(Lists!$N$5:$N$7,$A30,Lists!$O$5:$O$7,G$5)&gt;0,"LEAVE",IF(SUMIFS(Time_Entries!$J$5:$J$332,Time_Entries!$B$5:$B$332,$A30,Time_Entries!$E$5:$E$332,G$5,Time_Entries!$N$5:$N$332,"")=0,"MISSING",SUMIFS(Time_Entries!$J$5:$J$332,Time_Entries!$B$5:$B$332,$A30,Time_Entries!$E$5:$E$332,G$5,Time_Entries!$N$5:$N$332,"")))</f>
        <v>8</v>
      </c>
      <c r="H30" s="22">
        <f>IF(COUNTIFS(Lists!$N$5:$N$7,$A30,Lists!$O$5:$O$7,H$5)&gt;0,"LEAVE",IF(SUMIFS(Time_Entries!$J$5:$J$332,Time_Entries!$B$5:$B$332,$A30,Time_Entries!$E$5:$E$332,H$5,Time_Entries!$N$5:$N$332,"")=0,"MISSING",SUMIFS(Time_Entries!$J$5:$J$332,Time_Entries!$B$5:$B$332,$A30,Time_Entries!$E$5:$E$332,H$5,Time_Entries!$N$5:$N$332,"")))</f>
        <v>8</v>
      </c>
      <c r="I30" s="22">
        <f>IF(COUNTIFS(Lists!$N$5:$N$7,$A30,Lists!$O$5:$O$7,I$5)&gt;0,"LEAVE",IF(SUMIFS(Time_Entries!$J$5:$J$332,Time_Entries!$B$5:$B$332,$A30,Time_Entries!$E$5:$E$332,I$5,Time_Entries!$N$5:$N$332,"")=0,"MISSING",SUMIFS(Time_Entries!$J$5:$J$332,Time_Entries!$B$5:$B$332,$A30,Time_Entries!$E$5:$E$332,I$5,Time_Entries!$N$5:$N$332,"")))</f>
        <v>8</v>
      </c>
      <c r="J30" s="22">
        <f>IF(COUNTIFS(Lists!$N$5:$N$7,$A30,Lists!$O$5:$O$7,J$5)&gt;0,"LEAVE",IF(SUMIFS(Time_Entries!$J$5:$J$332,Time_Entries!$B$5:$B$332,$A30,Time_Entries!$E$5:$E$332,J$5,Time_Entries!$N$5:$N$332,"")=0,"MISSING",SUMIFS(Time_Entries!$J$5:$J$332,Time_Entries!$B$5:$B$332,$A30,Time_Entries!$E$5:$E$332,J$5,Time_Entries!$N$5:$N$332,"")))</f>
        <v>8</v>
      </c>
      <c r="K30" s="22">
        <f>IF(COUNTIFS(Lists!$N$5:$N$7,$A30,Lists!$O$5:$O$7,K$5)&gt;0,"LEAVE",IF(SUMIFS(Time_Entries!$J$5:$J$332,Time_Entries!$B$5:$B$332,$A30,Time_Entries!$E$5:$E$332,K$5,Time_Entries!$N$5:$N$332,"")=0,"MISSING",SUMIFS(Time_Entries!$J$5:$J$332,Time_Entries!$B$5:$B$332,$A30,Time_Entries!$E$5:$E$332,K$5,Time_Entries!$N$5:$N$332,"")))</f>
        <v>8</v>
      </c>
      <c r="L30" s="22">
        <f>IF(COUNTIFS(Lists!$N$5:$N$7,$A30,Lists!$O$5:$O$7,L$5)&gt;0,"LEAVE",IF(SUMIFS(Time_Entries!$J$5:$J$332,Time_Entries!$B$5:$B$332,$A30,Time_Entries!$E$5:$E$332,L$5,Time_Entries!$N$5:$N$332,"")=0,"MISSING",SUMIFS(Time_Entries!$J$5:$J$332,Time_Entries!$B$5:$B$332,$A30,Time_Entries!$E$5:$E$332,L$5,Time_Entries!$N$5:$N$332,"")))</f>
        <v>8</v>
      </c>
      <c r="M30" s="23">
        <f t="shared" si="0"/>
        <v>80</v>
      </c>
      <c r="N30" s="23">
        <f t="shared" si="1"/>
        <v>80</v>
      </c>
      <c r="O30" s="18">
        <f t="shared" si="2"/>
        <v>0</v>
      </c>
    </row>
    <row r="31" spans="1:15" x14ac:dyDescent="0.25">
      <c r="A31" s="7" t="s">
        <v>342</v>
      </c>
      <c r="B31" s="8" t="str">
        <f>Lists!B30</f>
        <v>Kai Ashby</v>
      </c>
      <c r="C31" s="22">
        <f>IF(COUNTIFS(Lists!$N$5:$N$7,$A31,Lists!$O$5:$O$7,C$5)&gt;0,"LEAVE",IF(SUMIFS(Time_Entries!$J$5:$J$332,Time_Entries!$B$5:$B$332,$A31,Time_Entries!$E$5:$E$332,C$5,Time_Entries!$N$5:$N$332,"")=0,"MISSING",SUMIFS(Time_Entries!$J$5:$J$332,Time_Entries!$B$5:$B$332,$A31,Time_Entries!$E$5:$E$332,C$5,Time_Entries!$N$5:$N$332,"")))</f>
        <v>8</v>
      </c>
      <c r="D31" s="22">
        <f>IF(COUNTIFS(Lists!$N$5:$N$7,$A31,Lists!$O$5:$O$7,D$5)&gt;0,"LEAVE",IF(SUMIFS(Time_Entries!$J$5:$J$332,Time_Entries!$B$5:$B$332,$A31,Time_Entries!$E$5:$E$332,D$5,Time_Entries!$N$5:$N$332,"")=0,"MISSING",SUMIFS(Time_Entries!$J$5:$J$332,Time_Entries!$B$5:$B$332,$A31,Time_Entries!$E$5:$E$332,D$5,Time_Entries!$N$5:$N$332,"")))</f>
        <v>8</v>
      </c>
      <c r="E31" s="22">
        <f>IF(COUNTIFS(Lists!$N$5:$N$7,$A31,Lists!$O$5:$O$7,E$5)&gt;0,"LEAVE",IF(SUMIFS(Time_Entries!$J$5:$J$332,Time_Entries!$B$5:$B$332,$A31,Time_Entries!$E$5:$E$332,E$5,Time_Entries!$N$5:$N$332,"")=0,"MISSING",SUMIFS(Time_Entries!$J$5:$J$332,Time_Entries!$B$5:$B$332,$A31,Time_Entries!$E$5:$E$332,E$5,Time_Entries!$N$5:$N$332,"")))</f>
        <v>8</v>
      </c>
      <c r="F31" s="22">
        <f>IF(COUNTIFS(Lists!$N$5:$N$7,$A31,Lists!$O$5:$O$7,F$5)&gt;0,"LEAVE",IF(SUMIFS(Time_Entries!$J$5:$J$332,Time_Entries!$B$5:$B$332,$A31,Time_Entries!$E$5:$E$332,F$5,Time_Entries!$N$5:$N$332,"")=0,"MISSING",SUMIFS(Time_Entries!$J$5:$J$332,Time_Entries!$B$5:$B$332,$A31,Time_Entries!$E$5:$E$332,F$5,Time_Entries!$N$5:$N$332,"")))</f>
        <v>8</v>
      </c>
      <c r="G31" s="22">
        <f>IF(COUNTIFS(Lists!$N$5:$N$7,$A31,Lists!$O$5:$O$7,G$5)&gt;0,"LEAVE",IF(SUMIFS(Time_Entries!$J$5:$J$332,Time_Entries!$B$5:$B$332,$A31,Time_Entries!$E$5:$E$332,G$5,Time_Entries!$N$5:$N$332,"")=0,"MISSING",SUMIFS(Time_Entries!$J$5:$J$332,Time_Entries!$B$5:$B$332,$A31,Time_Entries!$E$5:$E$332,G$5,Time_Entries!$N$5:$N$332,"")))</f>
        <v>8</v>
      </c>
      <c r="H31" s="22">
        <f>IF(COUNTIFS(Lists!$N$5:$N$7,$A31,Lists!$O$5:$O$7,H$5)&gt;0,"LEAVE",IF(SUMIFS(Time_Entries!$J$5:$J$332,Time_Entries!$B$5:$B$332,$A31,Time_Entries!$E$5:$E$332,H$5,Time_Entries!$N$5:$N$332,"")=0,"MISSING",SUMIFS(Time_Entries!$J$5:$J$332,Time_Entries!$B$5:$B$332,$A31,Time_Entries!$E$5:$E$332,H$5,Time_Entries!$N$5:$N$332,"")))</f>
        <v>8</v>
      </c>
      <c r="I31" s="22">
        <f>IF(COUNTIFS(Lists!$N$5:$N$7,$A31,Lists!$O$5:$O$7,I$5)&gt;0,"LEAVE",IF(SUMIFS(Time_Entries!$J$5:$J$332,Time_Entries!$B$5:$B$332,$A31,Time_Entries!$E$5:$E$332,I$5,Time_Entries!$N$5:$N$332,"")=0,"MISSING",SUMIFS(Time_Entries!$J$5:$J$332,Time_Entries!$B$5:$B$332,$A31,Time_Entries!$E$5:$E$332,I$5,Time_Entries!$N$5:$N$332,"")))</f>
        <v>8</v>
      </c>
      <c r="J31" s="22">
        <f>IF(COUNTIFS(Lists!$N$5:$N$7,$A31,Lists!$O$5:$O$7,J$5)&gt;0,"LEAVE",IF(SUMIFS(Time_Entries!$J$5:$J$332,Time_Entries!$B$5:$B$332,$A31,Time_Entries!$E$5:$E$332,J$5,Time_Entries!$N$5:$N$332,"")=0,"MISSING",SUMIFS(Time_Entries!$J$5:$J$332,Time_Entries!$B$5:$B$332,$A31,Time_Entries!$E$5:$E$332,J$5,Time_Entries!$N$5:$N$332,"")))</f>
        <v>8</v>
      </c>
      <c r="K31" s="22">
        <f>IF(COUNTIFS(Lists!$N$5:$N$7,$A31,Lists!$O$5:$O$7,K$5)&gt;0,"LEAVE",IF(SUMIFS(Time_Entries!$J$5:$J$332,Time_Entries!$B$5:$B$332,$A31,Time_Entries!$E$5:$E$332,K$5,Time_Entries!$N$5:$N$332,"")=0,"MISSING",SUMIFS(Time_Entries!$J$5:$J$332,Time_Entries!$B$5:$B$332,$A31,Time_Entries!$E$5:$E$332,K$5,Time_Entries!$N$5:$N$332,"")))</f>
        <v>8</v>
      </c>
      <c r="L31" s="22" t="str">
        <f>IF(COUNTIFS(Lists!$N$5:$N$7,$A31,Lists!$O$5:$O$7,L$5)&gt;0,"LEAVE",IF(SUMIFS(Time_Entries!$J$5:$J$332,Time_Entries!$B$5:$B$332,$A31,Time_Entries!$E$5:$E$332,L$5,Time_Entries!$N$5:$N$332,"")=0,"MISSING",SUMIFS(Time_Entries!$J$5:$J$332,Time_Entries!$B$5:$B$332,$A31,Time_Entries!$E$5:$E$332,L$5,Time_Entries!$N$5:$N$332,"")))</f>
        <v>MISSING</v>
      </c>
      <c r="M31" s="23">
        <f t="shared" si="0"/>
        <v>72</v>
      </c>
      <c r="N31" s="23">
        <f t="shared" si="1"/>
        <v>80</v>
      </c>
      <c r="O31" s="18">
        <f t="shared" si="2"/>
        <v>-8</v>
      </c>
    </row>
    <row r="32" spans="1:15" x14ac:dyDescent="0.25">
      <c r="A32" s="7" t="s">
        <v>352</v>
      </c>
      <c r="B32" s="8" t="str">
        <f>Lists!B31</f>
        <v>Lane Bishop</v>
      </c>
      <c r="C32" s="22">
        <f>IF(COUNTIFS(Lists!$N$5:$N$7,$A32,Lists!$O$5:$O$7,C$5)&gt;0,"LEAVE",IF(SUMIFS(Time_Entries!$J$5:$J$332,Time_Entries!$B$5:$B$332,$A32,Time_Entries!$E$5:$E$332,C$5,Time_Entries!$N$5:$N$332,"")=0,"MISSING",SUMIFS(Time_Entries!$J$5:$J$332,Time_Entries!$B$5:$B$332,$A32,Time_Entries!$E$5:$E$332,C$5,Time_Entries!$N$5:$N$332,"")))</f>
        <v>8</v>
      </c>
      <c r="D32" s="22">
        <f>IF(COUNTIFS(Lists!$N$5:$N$7,$A32,Lists!$O$5:$O$7,D$5)&gt;0,"LEAVE",IF(SUMIFS(Time_Entries!$J$5:$J$332,Time_Entries!$B$5:$B$332,$A32,Time_Entries!$E$5:$E$332,D$5,Time_Entries!$N$5:$N$332,"")=0,"MISSING",SUMIFS(Time_Entries!$J$5:$J$332,Time_Entries!$B$5:$B$332,$A32,Time_Entries!$E$5:$E$332,D$5,Time_Entries!$N$5:$N$332,"")))</f>
        <v>8</v>
      </c>
      <c r="E32" s="22">
        <f>IF(COUNTIFS(Lists!$N$5:$N$7,$A32,Lists!$O$5:$O$7,E$5)&gt;0,"LEAVE",IF(SUMIFS(Time_Entries!$J$5:$J$332,Time_Entries!$B$5:$B$332,$A32,Time_Entries!$E$5:$E$332,E$5,Time_Entries!$N$5:$N$332,"")=0,"MISSING",SUMIFS(Time_Entries!$J$5:$J$332,Time_Entries!$B$5:$B$332,$A32,Time_Entries!$E$5:$E$332,E$5,Time_Entries!$N$5:$N$332,"")))</f>
        <v>8</v>
      </c>
      <c r="F32" s="22">
        <f>IF(COUNTIFS(Lists!$N$5:$N$7,$A32,Lists!$O$5:$O$7,F$5)&gt;0,"LEAVE",IF(SUMIFS(Time_Entries!$J$5:$J$332,Time_Entries!$B$5:$B$332,$A32,Time_Entries!$E$5:$E$332,F$5,Time_Entries!$N$5:$N$332,"")=0,"MISSING",SUMIFS(Time_Entries!$J$5:$J$332,Time_Entries!$B$5:$B$332,$A32,Time_Entries!$E$5:$E$332,F$5,Time_Entries!$N$5:$N$332,"")))</f>
        <v>8</v>
      </c>
      <c r="G32" s="22">
        <f>IF(COUNTIFS(Lists!$N$5:$N$7,$A32,Lists!$O$5:$O$7,G$5)&gt;0,"LEAVE",IF(SUMIFS(Time_Entries!$J$5:$J$332,Time_Entries!$B$5:$B$332,$A32,Time_Entries!$E$5:$E$332,G$5,Time_Entries!$N$5:$N$332,"")=0,"MISSING",SUMIFS(Time_Entries!$J$5:$J$332,Time_Entries!$B$5:$B$332,$A32,Time_Entries!$E$5:$E$332,G$5,Time_Entries!$N$5:$N$332,"")))</f>
        <v>8</v>
      </c>
      <c r="H32" s="22">
        <f>IF(COUNTIFS(Lists!$N$5:$N$7,$A32,Lists!$O$5:$O$7,H$5)&gt;0,"LEAVE",IF(SUMIFS(Time_Entries!$J$5:$J$332,Time_Entries!$B$5:$B$332,$A32,Time_Entries!$E$5:$E$332,H$5,Time_Entries!$N$5:$N$332,"")=0,"MISSING",SUMIFS(Time_Entries!$J$5:$J$332,Time_Entries!$B$5:$B$332,$A32,Time_Entries!$E$5:$E$332,H$5,Time_Entries!$N$5:$N$332,"")))</f>
        <v>8</v>
      </c>
      <c r="I32" s="22">
        <f>IF(COUNTIFS(Lists!$N$5:$N$7,$A32,Lists!$O$5:$O$7,I$5)&gt;0,"LEAVE",IF(SUMIFS(Time_Entries!$J$5:$J$332,Time_Entries!$B$5:$B$332,$A32,Time_Entries!$E$5:$E$332,I$5,Time_Entries!$N$5:$N$332,"")=0,"MISSING",SUMIFS(Time_Entries!$J$5:$J$332,Time_Entries!$B$5:$B$332,$A32,Time_Entries!$E$5:$E$332,I$5,Time_Entries!$N$5:$N$332,"")))</f>
        <v>8</v>
      </c>
      <c r="J32" s="22">
        <f>IF(COUNTIFS(Lists!$N$5:$N$7,$A32,Lists!$O$5:$O$7,J$5)&gt;0,"LEAVE",IF(SUMIFS(Time_Entries!$J$5:$J$332,Time_Entries!$B$5:$B$332,$A32,Time_Entries!$E$5:$E$332,J$5,Time_Entries!$N$5:$N$332,"")=0,"MISSING",SUMIFS(Time_Entries!$J$5:$J$332,Time_Entries!$B$5:$B$332,$A32,Time_Entries!$E$5:$E$332,J$5,Time_Entries!$N$5:$N$332,"")))</f>
        <v>8</v>
      </c>
      <c r="K32" s="22">
        <f>IF(COUNTIFS(Lists!$N$5:$N$7,$A32,Lists!$O$5:$O$7,K$5)&gt;0,"LEAVE",IF(SUMIFS(Time_Entries!$J$5:$J$332,Time_Entries!$B$5:$B$332,$A32,Time_Entries!$E$5:$E$332,K$5,Time_Entries!$N$5:$N$332,"")=0,"MISSING",SUMIFS(Time_Entries!$J$5:$J$332,Time_Entries!$B$5:$B$332,$A32,Time_Entries!$E$5:$E$332,K$5,Time_Entries!$N$5:$N$332,"")))</f>
        <v>8</v>
      </c>
      <c r="L32" s="22">
        <f>IF(COUNTIFS(Lists!$N$5:$N$7,$A32,Lists!$O$5:$O$7,L$5)&gt;0,"LEAVE",IF(SUMIFS(Time_Entries!$J$5:$J$332,Time_Entries!$B$5:$B$332,$A32,Time_Entries!$E$5:$E$332,L$5,Time_Entries!$N$5:$N$332,"")=0,"MISSING",SUMIFS(Time_Entries!$J$5:$J$332,Time_Entries!$B$5:$B$332,$A32,Time_Entries!$E$5:$E$332,L$5,Time_Entries!$N$5:$N$332,"")))</f>
        <v>8</v>
      </c>
      <c r="M32" s="23">
        <f t="shared" si="0"/>
        <v>80</v>
      </c>
      <c r="N32" s="23">
        <f t="shared" si="1"/>
        <v>80</v>
      </c>
      <c r="O32" s="18">
        <f t="shared" si="2"/>
        <v>0</v>
      </c>
    </row>
    <row r="33" spans="1:15" x14ac:dyDescent="0.25">
      <c r="A33" s="7" t="s">
        <v>363</v>
      </c>
      <c r="B33" s="8" t="str">
        <f>Lists!B32</f>
        <v>Marley Carver</v>
      </c>
      <c r="C33" s="22">
        <f>IF(COUNTIFS(Lists!$N$5:$N$7,$A33,Lists!$O$5:$O$7,C$5)&gt;0,"LEAVE",IF(SUMIFS(Time_Entries!$J$5:$J$332,Time_Entries!$B$5:$B$332,$A33,Time_Entries!$E$5:$E$332,C$5,Time_Entries!$N$5:$N$332,"")=0,"MISSING",SUMIFS(Time_Entries!$J$5:$J$332,Time_Entries!$B$5:$B$332,$A33,Time_Entries!$E$5:$E$332,C$5,Time_Entries!$N$5:$N$332,"")))</f>
        <v>8</v>
      </c>
      <c r="D33" s="22">
        <f>IF(COUNTIFS(Lists!$N$5:$N$7,$A33,Lists!$O$5:$O$7,D$5)&gt;0,"LEAVE",IF(SUMIFS(Time_Entries!$J$5:$J$332,Time_Entries!$B$5:$B$332,$A33,Time_Entries!$E$5:$E$332,D$5,Time_Entries!$N$5:$N$332,"")=0,"MISSING",SUMIFS(Time_Entries!$J$5:$J$332,Time_Entries!$B$5:$B$332,$A33,Time_Entries!$E$5:$E$332,D$5,Time_Entries!$N$5:$N$332,"")))</f>
        <v>8</v>
      </c>
      <c r="E33" s="22">
        <f>IF(COUNTIFS(Lists!$N$5:$N$7,$A33,Lists!$O$5:$O$7,E$5)&gt;0,"LEAVE",IF(SUMIFS(Time_Entries!$J$5:$J$332,Time_Entries!$B$5:$B$332,$A33,Time_Entries!$E$5:$E$332,E$5,Time_Entries!$N$5:$N$332,"")=0,"MISSING",SUMIFS(Time_Entries!$J$5:$J$332,Time_Entries!$B$5:$B$332,$A33,Time_Entries!$E$5:$E$332,E$5,Time_Entries!$N$5:$N$332,"")))</f>
        <v>8</v>
      </c>
      <c r="F33" s="22">
        <f>IF(COUNTIFS(Lists!$N$5:$N$7,$A33,Lists!$O$5:$O$7,F$5)&gt;0,"LEAVE",IF(SUMIFS(Time_Entries!$J$5:$J$332,Time_Entries!$B$5:$B$332,$A33,Time_Entries!$E$5:$E$332,F$5,Time_Entries!$N$5:$N$332,"")=0,"MISSING",SUMIFS(Time_Entries!$J$5:$J$332,Time_Entries!$B$5:$B$332,$A33,Time_Entries!$E$5:$E$332,F$5,Time_Entries!$N$5:$N$332,"")))</f>
        <v>8</v>
      </c>
      <c r="G33" s="22">
        <f>IF(COUNTIFS(Lists!$N$5:$N$7,$A33,Lists!$O$5:$O$7,G$5)&gt;0,"LEAVE",IF(SUMIFS(Time_Entries!$J$5:$J$332,Time_Entries!$B$5:$B$332,$A33,Time_Entries!$E$5:$E$332,G$5,Time_Entries!$N$5:$N$332,"")=0,"MISSING",SUMIFS(Time_Entries!$J$5:$J$332,Time_Entries!$B$5:$B$332,$A33,Time_Entries!$E$5:$E$332,G$5,Time_Entries!$N$5:$N$332,"")))</f>
        <v>8</v>
      </c>
      <c r="H33" s="22">
        <f>IF(COUNTIFS(Lists!$N$5:$N$7,$A33,Lists!$O$5:$O$7,H$5)&gt;0,"LEAVE",IF(SUMIFS(Time_Entries!$J$5:$J$332,Time_Entries!$B$5:$B$332,$A33,Time_Entries!$E$5:$E$332,H$5,Time_Entries!$N$5:$N$332,"")=0,"MISSING",SUMIFS(Time_Entries!$J$5:$J$332,Time_Entries!$B$5:$B$332,$A33,Time_Entries!$E$5:$E$332,H$5,Time_Entries!$N$5:$N$332,"")))</f>
        <v>8</v>
      </c>
      <c r="I33" s="22">
        <f>IF(COUNTIFS(Lists!$N$5:$N$7,$A33,Lists!$O$5:$O$7,I$5)&gt;0,"LEAVE",IF(SUMIFS(Time_Entries!$J$5:$J$332,Time_Entries!$B$5:$B$332,$A33,Time_Entries!$E$5:$E$332,I$5,Time_Entries!$N$5:$N$332,"")=0,"MISSING",SUMIFS(Time_Entries!$J$5:$J$332,Time_Entries!$B$5:$B$332,$A33,Time_Entries!$E$5:$E$332,I$5,Time_Entries!$N$5:$N$332,"")))</f>
        <v>8</v>
      </c>
      <c r="J33" s="22">
        <f>IF(COUNTIFS(Lists!$N$5:$N$7,$A33,Lists!$O$5:$O$7,J$5)&gt;0,"LEAVE",IF(SUMIFS(Time_Entries!$J$5:$J$332,Time_Entries!$B$5:$B$332,$A33,Time_Entries!$E$5:$E$332,J$5,Time_Entries!$N$5:$N$332,"")=0,"MISSING",SUMIFS(Time_Entries!$J$5:$J$332,Time_Entries!$B$5:$B$332,$A33,Time_Entries!$E$5:$E$332,J$5,Time_Entries!$N$5:$N$332,"")))</f>
        <v>8</v>
      </c>
      <c r="K33" s="22">
        <f>IF(COUNTIFS(Lists!$N$5:$N$7,$A33,Lists!$O$5:$O$7,K$5)&gt;0,"LEAVE",IF(SUMIFS(Time_Entries!$J$5:$J$332,Time_Entries!$B$5:$B$332,$A33,Time_Entries!$E$5:$E$332,K$5,Time_Entries!$N$5:$N$332,"")=0,"MISSING",SUMIFS(Time_Entries!$J$5:$J$332,Time_Entries!$B$5:$B$332,$A33,Time_Entries!$E$5:$E$332,K$5,Time_Entries!$N$5:$N$332,"")))</f>
        <v>8</v>
      </c>
      <c r="L33" s="22">
        <f>IF(COUNTIFS(Lists!$N$5:$N$7,$A33,Lists!$O$5:$O$7,L$5)&gt;0,"LEAVE",IF(SUMIFS(Time_Entries!$J$5:$J$332,Time_Entries!$B$5:$B$332,$A33,Time_Entries!$E$5:$E$332,L$5,Time_Entries!$N$5:$N$332,"")=0,"MISSING",SUMIFS(Time_Entries!$J$5:$J$332,Time_Entries!$B$5:$B$332,$A33,Time_Entries!$E$5:$E$332,L$5,Time_Entries!$N$5:$N$332,"")))</f>
        <v>8</v>
      </c>
      <c r="M33" s="23">
        <f t="shared" si="0"/>
        <v>80</v>
      </c>
      <c r="N33" s="23">
        <f t="shared" si="1"/>
        <v>80</v>
      </c>
      <c r="O33" s="18">
        <f t="shared" si="2"/>
        <v>0</v>
      </c>
    </row>
    <row r="34" spans="1:15" x14ac:dyDescent="0.25">
      <c r="A34" s="7" t="s">
        <v>375</v>
      </c>
      <c r="B34" s="8" t="str">
        <f>Lists!B33</f>
        <v>Noel Doyle</v>
      </c>
      <c r="C34" s="22">
        <f>IF(COUNTIFS(Lists!$N$5:$N$7,$A34,Lists!$O$5:$O$7,C$5)&gt;0,"LEAVE",IF(SUMIFS(Time_Entries!$J$5:$J$332,Time_Entries!$B$5:$B$332,$A34,Time_Entries!$E$5:$E$332,C$5,Time_Entries!$N$5:$N$332,"")=0,"MISSING",SUMIFS(Time_Entries!$J$5:$J$332,Time_Entries!$B$5:$B$332,$A34,Time_Entries!$E$5:$E$332,C$5,Time_Entries!$N$5:$N$332,"")))</f>
        <v>8</v>
      </c>
      <c r="D34" s="22">
        <f>IF(COUNTIFS(Lists!$N$5:$N$7,$A34,Lists!$O$5:$O$7,D$5)&gt;0,"LEAVE",IF(SUMIFS(Time_Entries!$J$5:$J$332,Time_Entries!$B$5:$B$332,$A34,Time_Entries!$E$5:$E$332,D$5,Time_Entries!$N$5:$N$332,"")=0,"MISSING",SUMIFS(Time_Entries!$J$5:$J$332,Time_Entries!$B$5:$B$332,$A34,Time_Entries!$E$5:$E$332,D$5,Time_Entries!$N$5:$N$332,"")))</f>
        <v>8</v>
      </c>
      <c r="E34" s="22">
        <f>IF(COUNTIFS(Lists!$N$5:$N$7,$A34,Lists!$O$5:$O$7,E$5)&gt;0,"LEAVE",IF(SUMIFS(Time_Entries!$J$5:$J$332,Time_Entries!$B$5:$B$332,$A34,Time_Entries!$E$5:$E$332,E$5,Time_Entries!$N$5:$N$332,"")=0,"MISSING",SUMIFS(Time_Entries!$J$5:$J$332,Time_Entries!$B$5:$B$332,$A34,Time_Entries!$E$5:$E$332,E$5,Time_Entries!$N$5:$N$332,"")))</f>
        <v>8</v>
      </c>
      <c r="F34" s="22" t="str">
        <f>IF(COUNTIFS(Lists!$N$5:$N$7,$A34,Lists!$O$5:$O$7,F$5)&gt;0,"LEAVE",IF(SUMIFS(Time_Entries!$J$5:$J$332,Time_Entries!$B$5:$B$332,$A34,Time_Entries!$E$5:$E$332,F$5,Time_Entries!$N$5:$N$332,"")=0,"MISSING",SUMIFS(Time_Entries!$J$5:$J$332,Time_Entries!$B$5:$B$332,$A34,Time_Entries!$E$5:$E$332,F$5,Time_Entries!$N$5:$N$332,"")))</f>
        <v>MISSING</v>
      </c>
      <c r="G34" s="22">
        <f>IF(COUNTIFS(Lists!$N$5:$N$7,$A34,Lists!$O$5:$O$7,G$5)&gt;0,"LEAVE",IF(SUMIFS(Time_Entries!$J$5:$J$332,Time_Entries!$B$5:$B$332,$A34,Time_Entries!$E$5:$E$332,G$5,Time_Entries!$N$5:$N$332,"")=0,"MISSING",SUMIFS(Time_Entries!$J$5:$J$332,Time_Entries!$B$5:$B$332,$A34,Time_Entries!$E$5:$E$332,G$5,Time_Entries!$N$5:$N$332,"")))</f>
        <v>8</v>
      </c>
      <c r="H34" s="22">
        <f>IF(COUNTIFS(Lists!$N$5:$N$7,$A34,Lists!$O$5:$O$7,H$5)&gt;0,"LEAVE",IF(SUMIFS(Time_Entries!$J$5:$J$332,Time_Entries!$B$5:$B$332,$A34,Time_Entries!$E$5:$E$332,H$5,Time_Entries!$N$5:$N$332,"")=0,"MISSING",SUMIFS(Time_Entries!$J$5:$J$332,Time_Entries!$B$5:$B$332,$A34,Time_Entries!$E$5:$E$332,H$5,Time_Entries!$N$5:$N$332,"")))</f>
        <v>8</v>
      </c>
      <c r="I34" s="22">
        <f>IF(COUNTIFS(Lists!$N$5:$N$7,$A34,Lists!$O$5:$O$7,I$5)&gt;0,"LEAVE",IF(SUMIFS(Time_Entries!$J$5:$J$332,Time_Entries!$B$5:$B$332,$A34,Time_Entries!$E$5:$E$332,I$5,Time_Entries!$N$5:$N$332,"")=0,"MISSING",SUMIFS(Time_Entries!$J$5:$J$332,Time_Entries!$B$5:$B$332,$A34,Time_Entries!$E$5:$E$332,I$5,Time_Entries!$N$5:$N$332,"")))</f>
        <v>8</v>
      </c>
      <c r="J34" s="22">
        <f>IF(COUNTIFS(Lists!$N$5:$N$7,$A34,Lists!$O$5:$O$7,J$5)&gt;0,"LEAVE",IF(SUMIFS(Time_Entries!$J$5:$J$332,Time_Entries!$B$5:$B$332,$A34,Time_Entries!$E$5:$E$332,J$5,Time_Entries!$N$5:$N$332,"")=0,"MISSING",SUMIFS(Time_Entries!$J$5:$J$332,Time_Entries!$B$5:$B$332,$A34,Time_Entries!$E$5:$E$332,J$5,Time_Entries!$N$5:$N$332,"")))</f>
        <v>8</v>
      </c>
      <c r="K34" s="22">
        <f>IF(COUNTIFS(Lists!$N$5:$N$7,$A34,Lists!$O$5:$O$7,K$5)&gt;0,"LEAVE",IF(SUMIFS(Time_Entries!$J$5:$J$332,Time_Entries!$B$5:$B$332,$A34,Time_Entries!$E$5:$E$332,K$5,Time_Entries!$N$5:$N$332,"")=0,"MISSING",SUMIFS(Time_Entries!$J$5:$J$332,Time_Entries!$B$5:$B$332,$A34,Time_Entries!$E$5:$E$332,K$5,Time_Entries!$N$5:$N$332,"")))</f>
        <v>8</v>
      </c>
      <c r="L34" s="22">
        <f>IF(COUNTIFS(Lists!$N$5:$N$7,$A34,Lists!$O$5:$O$7,L$5)&gt;0,"LEAVE",IF(SUMIFS(Time_Entries!$J$5:$J$332,Time_Entries!$B$5:$B$332,$A34,Time_Entries!$E$5:$E$332,L$5,Time_Entries!$N$5:$N$332,"")=0,"MISSING",SUMIFS(Time_Entries!$J$5:$J$332,Time_Entries!$B$5:$B$332,$A34,Time_Entries!$E$5:$E$332,L$5,Time_Entries!$N$5:$N$332,"")))</f>
        <v>8</v>
      </c>
      <c r="M34" s="23">
        <f t="shared" si="0"/>
        <v>72</v>
      </c>
      <c r="N34" s="23">
        <f t="shared" si="1"/>
        <v>80</v>
      </c>
      <c r="O34" s="18">
        <f t="shared" si="2"/>
        <v>-8</v>
      </c>
    </row>
    <row r="35" spans="1:15" x14ac:dyDescent="0.25">
      <c r="A35" s="7" t="s">
        <v>385</v>
      </c>
      <c r="B35" s="8" t="str">
        <f>Lists!B34</f>
        <v>Oakley Ellery</v>
      </c>
      <c r="C35" s="22">
        <f>IF(COUNTIFS(Lists!$N$5:$N$7,$A35,Lists!$O$5:$O$7,C$5)&gt;0,"LEAVE",IF(SUMIFS(Time_Entries!$J$5:$J$332,Time_Entries!$B$5:$B$332,$A35,Time_Entries!$E$5:$E$332,C$5,Time_Entries!$N$5:$N$332,"")=0,"MISSING",SUMIFS(Time_Entries!$J$5:$J$332,Time_Entries!$B$5:$B$332,$A35,Time_Entries!$E$5:$E$332,C$5,Time_Entries!$N$5:$N$332,"")))</f>
        <v>8</v>
      </c>
      <c r="D35" s="22">
        <f>IF(COUNTIFS(Lists!$N$5:$N$7,$A35,Lists!$O$5:$O$7,D$5)&gt;0,"LEAVE",IF(SUMIFS(Time_Entries!$J$5:$J$332,Time_Entries!$B$5:$B$332,$A35,Time_Entries!$E$5:$E$332,D$5,Time_Entries!$N$5:$N$332,"")=0,"MISSING",SUMIFS(Time_Entries!$J$5:$J$332,Time_Entries!$B$5:$B$332,$A35,Time_Entries!$E$5:$E$332,D$5,Time_Entries!$N$5:$N$332,"")))</f>
        <v>8</v>
      </c>
      <c r="E35" s="22">
        <f>IF(COUNTIFS(Lists!$N$5:$N$7,$A35,Lists!$O$5:$O$7,E$5)&gt;0,"LEAVE",IF(SUMIFS(Time_Entries!$J$5:$J$332,Time_Entries!$B$5:$B$332,$A35,Time_Entries!$E$5:$E$332,E$5,Time_Entries!$N$5:$N$332,"")=0,"MISSING",SUMIFS(Time_Entries!$J$5:$J$332,Time_Entries!$B$5:$B$332,$A35,Time_Entries!$E$5:$E$332,E$5,Time_Entries!$N$5:$N$332,"")))</f>
        <v>8</v>
      </c>
      <c r="F35" s="22">
        <f>IF(COUNTIFS(Lists!$N$5:$N$7,$A35,Lists!$O$5:$O$7,F$5)&gt;0,"LEAVE",IF(SUMIFS(Time_Entries!$J$5:$J$332,Time_Entries!$B$5:$B$332,$A35,Time_Entries!$E$5:$E$332,F$5,Time_Entries!$N$5:$N$332,"")=0,"MISSING",SUMIFS(Time_Entries!$J$5:$J$332,Time_Entries!$B$5:$B$332,$A35,Time_Entries!$E$5:$E$332,F$5,Time_Entries!$N$5:$N$332,"")))</f>
        <v>8</v>
      </c>
      <c r="G35" s="22">
        <f>IF(COUNTIFS(Lists!$N$5:$N$7,$A35,Lists!$O$5:$O$7,G$5)&gt;0,"LEAVE",IF(SUMIFS(Time_Entries!$J$5:$J$332,Time_Entries!$B$5:$B$332,$A35,Time_Entries!$E$5:$E$332,G$5,Time_Entries!$N$5:$N$332,"")=0,"MISSING",SUMIFS(Time_Entries!$J$5:$J$332,Time_Entries!$B$5:$B$332,$A35,Time_Entries!$E$5:$E$332,G$5,Time_Entries!$N$5:$N$332,"")))</f>
        <v>8</v>
      </c>
      <c r="H35" s="22">
        <f>IF(COUNTIFS(Lists!$N$5:$N$7,$A35,Lists!$O$5:$O$7,H$5)&gt;0,"LEAVE",IF(SUMIFS(Time_Entries!$J$5:$J$332,Time_Entries!$B$5:$B$332,$A35,Time_Entries!$E$5:$E$332,H$5,Time_Entries!$N$5:$N$332,"")=0,"MISSING",SUMIFS(Time_Entries!$J$5:$J$332,Time_Entries!$B$5:$B$332,$A35,Time_Entries!$E$5:$E$332,H$5,Time_Entries!$N$5:$N$332,"")))</f>
        <v>8</v>
      </c>
      <c r="I35" s="22">
        <f>IF(COUNTIFS(Lists!$N$5:$N$7,$A35,Lists!$O$5:$O$7,I$5)&gt;0,"LEAVE",IF(SUMIFS(Time_Entries!$J$5:$J$332,Time_Entries!$B$5:$B$332,$A35,Time_Entries!$E$5:$E$332,I$5,Time_Entries!$N$5:$N$332,"")=0,"MISSING",SUMIFS(Time_Entries!$J$5:$J$332,Time_Entries!$B$5:$B$332,$A35,Time_Entries!$E$5:$E$332,I$5,Time_Entries!$N$5:$N$332,"")))</f>
        <v>8</v>
      </c>
      <c r="J35" s="22">
        <f>IF(COUNTIFS(Lists!$N$5:$N$7,$A35,Lists!$O$5:$O$7,J$5)&gt;0,"LEAVE",IF(SUMIFS(Time_Entries!$J$5:$J$332,Time_Entries!$B$5:$B$332,$A35,Time_Entries!$E$5:$E$332,J$5,Time_Entries!$N$5:$N$332,"")=0,"MISSING",SUMIFS(Time_Entries!$J$5:$J$332,Time_Entries!$B$5:$B$332,$A35,Time_Entries!$E$5:$E$332,J$5,Time_Entries!$N$5:$N$332,"")))</f>
        <v>8</v>
      </c>
      <c r="K35" s="22">
        <f>IF(COUNTIFS(Lists!$N$5:$N$7,$A35,Lists!$O$5:$O$7,K$5)&gt;0,"LEAVE",IF(SUMIFS(Time_Entries!$J$5:$J$332,Time_Entries!$B$5:$B$332,$A35,Time_Entries!$E$5:$E$332,K$5,Time_Entries!$N$5:$N$332,"")=0,"MISSING",SUMIFS(Time_Entries!$J$5:$J$332,Time_Entries!$B$5:$B$332,$A35,Time_Entries!$E$5:$E$332,K$5,Time_Entries!$N$5:$N$332,"")))</f>
        <v>8</v>
      </c>
      <c r="L35" s="22">
        <f>IF(COUNTIFS(Lists!$N$5:$N$7,$A35,Lists!$O$5:$O$7,L$5)&gt;0,"LEAVE",IF(SUMIFS(Time_Entries!$J$5:$J$332,Time_Entries!$B$5:$B$332,$A35,Time_Entries!$E$5:$E$332,L$5,Time_Entries!$N$5:$N$332,"")=0,"MISSING",SUMIFS(Time_Entries!$J$5:$J$332,Time_Entries!$B$5:$B$332,$A35,Time_Entries!$E$5:$E$332,L$5,Time_Entries!$N$5:$N$332,"")))</f>
        <v>8</v>
      </c>
      <c r="M35" s="23">
        <f t="shared" si="0"/>
        <v>80</v>
      </c>
      <c r="N35" s="23">
        <f t="shared" si="1"/>
        <v>80</v>
      </c>
      <c r="O35" s="18">
        <f t="shared" si="2"/>
        <v>0</v>
      </c>
    </row>
    <row r="37" spans="1:15" x14ac:dyDescent="0.25">
      <c r="B37" s="24" t="s">
        <v>733</v>
      </c>
      <c r="C37" s="14">
        <f>30*10</f>
        <v>300</v>
      </c>
    </row>
    <row r="38" spans="1:15" x14ac:dyDescent="0.25">
      <c r="B38" s="24" t="s">
        <v>734</v>
      </c>
      <c r="C38" s="14">
        <f>COUNTIF(C6:L35,"LEAVE")</f>
        <v>3</v>
      </c>
    </row>
    <row r="39" spans="1:15" x14ac:dyDescent="0.25">
      <c r="B39" s="24" t="s">
        <v>735</v>
      </c>
      <c r="C39" s="14">
        <f>COUNTIF(C6:L35,"MISSING")</f>
        <v>7</v>
      </c>
    </row>
    <row r="40" spans="1:15" x14ac:dyDescent="0.25">
      <c r="B40" s="24" t="s">
        <v>736</v>
      </c>
      <c r="C40" s="14">
        <f>SUMPRODUCT(ISNUMBER(C6:L35)*(C6:L35&lt;&gt;8))</f>
        <v>2</v>
      </c>
    </row>
  </sheetData>
  <mergeCells count="1">
    <mergeCell ref="A1:P1"/>
  </mergeCells>
  <conditionalFormatting sqref="C6:L35">
    <cfRule type="expression" dxfId="2" priority="2">
      <formula>C6="MISSING"</formula>
    </cfRule>
    <cfRule type="expression" dxfId="1" priority="3">
      <formula>C6="LEAVE"</formula>
    </cfRule>
    <cfRule type="expression" dxfId="0" priority="4">
      <formula>AND(ISNUMBER(C6),C6&lt;&gt;8)</formula>
    </cfRule>
  </conditionalFormatting>
  <printOptions horizontalCentered="1"/>
  <pageMargins left="0.4" right="0.4" top="0.5" bottom="0.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8"/>
  <sheetViews>
    <sheetView zoomScaleNormal="100" workbookViewId="0">
      <pane xSplit="2" ySplit="5" topLeftCell="C6" activePane="bottomRight" state="frozen"/>
      <selection pane="topRight" activeCell="C1" sqref="C1"/>
      <selection pane="bottomLeft" activeCell="A6" sqref="A6"/>
      <selection pane="bottomRight" sqref="A1:M1"/>
    </sheetView>
  </sheetViews>
  <sheetFormatPr defaultColWidth="8.7109375" defaultRowHeight="15" x14ac:dyDescent="0.25"/>
  <cols>
    <col min="1" max="1" width="8" customWidth="1"/>
    <col min="2" max="2" width="15" customWidth="1"/>
    <col min="3" max="3" width="13" customWidth="1"/>
    <col min="4" max="4" width="10" customWidth="1"/>
    <col min="5" max="5" width="11" customWidth="1"/>
    <col min="6" max="6" width="9" customWidth="1"/>
    <col min="7" max="7" width="36" customWidth="1"/>
    <col min="8" max="8" width="30" customWidth="1"/>
    <col min="9" max="9" width="11" customWidth="1"/>
    <col min="10" max="10" width="38" customWidth="1"/>
    <col min="11" max="11" width="20" customWidth="1"/>
    <col min="12" max="12" width="10" customWidth="1"/>
    <col min="13" max="13" width="11" customWidth="1"/>
  </cols>
  <sheetData>
    <row r="1" spans="1:13" ht="30" customHeight="1" x14ac:dyDescent="0.25">
      <c r="A1" s="33" t="s">
        <v>0</v>
      </c>
      <c r="B1" s="33"/>
      <c r="C1" s="33"/>
      <c r="D1" s="33"/>
      <c r="E1" s="33"/>
      <c r="F1" s="33"/>
      <c r="G1" s="33"/>
      <c r="H1" s="33"/>
      <c r="I1" s="33"/>
      <c r="J1" s="33"/>
      <c r="K1" s="33"/>
      <c r="L1" s="33"/>
      <c r="M1" s="33"/>
    </row>
    <row r="2" spans="1:13" ht="18" x14ac:dyDescent="0.25">
      <c r="A2" s="1" t="s">
        <v>737</v>
      </c>
    </row>
    <row r="3" spans="1:13" x14ac:dyDescent="0.25">
      <c r="A3" s="2" t="s">
        <v>738</v>
      </c>
    </row>
    <row r="5" spans="1:13" ht="36" customHeight="1" x14ac:dyDescent="0.25">
      <c r="A5" s="6" t="s">
        <v>739</v>
      </c>
      <c r="B5" s="6" t="s">
        <v>740</v>
      </c>
      <c r="C5" s="6" t="s">
        <v>741</v>
      </c>
      <c r="D5" s="6" t="s">
        <v>19</v>
      </c>
      <c r="E5" s="6" t="s">
        <v>22</v>
      </c>
      <c r="F5" s="6" t="s">
        <v>24</v>
      </c>
      <c r="G5" s="6" t="s">
        <v>742</v>
      </c>
      <c r="H5" s="6" t="s">
        <v>743</v>
      </c>
      <c r="I5" s="6" t="s">
        <v>744</v>
      </c>
      <c r="J5" s="6" t="s">
        <v>745</v>
      </c>
      <c r="K5" s="6" t="s">
        <v>746</v>
      </c>
      <c r="L5" s="6" t="s">
        <v>412</v>
      </c>
      <c r="M5" s="6" t="s">
        <v>747</v>
      </c>
    </row>
    <row r="6" spans="1:13" ht="30" customHeight="1" x14ac:dyDescent="0.25">
      <c r="A6" s="10" t="s">
        <v>748</v>
      </c>
      <c r="B6" s="7" t="s">
        <v>749</v>
      </c>
      <c r="C6" s="7" t="s">
        <v>750</v>
      </c>
      <c r="D6" s="7" t="s">
        <v>58</v>
      </c>
      <c r="E6" s="9">
        <v>46280</v>
      </c>
      <c r="F6" s="7" t="s">
        <v>46</v>
      </c>
      <c r="G6" s="25" t="s">
        <v>751</v>
      </c>
      <c r="H6" s="25" t="s">
        <v>752</v>
      </c>
      <c r="I6" s="26">
        <v>656</v>
      </c>
      <c r="J6" s="25" t="s">
        <v>753</v>
      </c>
      <c r="K6" s="25" t="s">
        <v>754</v>
      </c>
      <c r="L6" s="7" t="s">
        <v>755</v>
      </c>
      <c r="M6" s="9">
        <v>46304</v>
      </c>
    </row>
    <row r="7" spans="1:13" ht="30" customHeight="1" x14ac:dyDescent="0.25">
      <c r="A7" s="10" t="s">
        <v>756</v>
      </c>
      <c r="B7" s="7" t="s">
        <v>749</v>
      </c>
      <c r="C7" s="7" t="s">
        <v>757</v>
      </c>
      <c r="D7" s="7" t="s">
        <v>147</v>
      </c>
      <c r="E7" s="9">
        <v>46283</v>
      </c>
      <c r="F7" s="7" t="s">
        <v>41</v>
      </c>
      <c r="G7" s="25" t="s">
        <v>751</v>
      </c>
      <c r="H7" s="25" t="s">
        <v>758</v>
      </c>
      <c r="I7" s="26">
        <v>624</v>
      </c>
      <c r="J7" s="25" t="s">
        <v>753</v>
      </c>
      <c r="K7" s="25" t="s">
        <v>754</v>
      </c>
      <c r="L7" s="7" t="s">
        <v>755</v>
      </c>
      <c r="M7" s="9">
        <v>46304</v>
      </c>
    </row>
    <row r="8" spans="1:13" ht="30" customHeight="1" x14ac:dyDescent="0.25">
      <c r="A8" s="10" t="s">
        <v>759</v>
      </c>
      <c r="B8" s="7" t="s">
        <v>749</v>
      </c>
      <c r="C8" s="7" t="s">
        <v>760</v>
      </c>
      <c r="D8" s="7" t="s">
        <v>170</v>
      </c>
      <c r="E8" s="9">
        <v>46287</v>
      </c>
      <c r="F8" s="7" t="s">
        <v>50</v>
      </c>
      <c r="G8" s="25" t="s">
        <v>751</v>
      </c>
      <c r="H8" s="25" t="s">
        <v>761</v>
      </c>
      <c r="I8" s="26">
        <v>800</v>
      </c>
      <c r="J8" s="25" t="s">
        <v>753</v>
      </c>
      <c r="K8" s="25" t="s">
        <v>754</v>
      </c>
      <c r="L8" s="7" t="s">
        <v>755</v>
      </c>
      <c r="M8" s="9">
        <v>46304</v>
      </c>
    </row>
    <row r="9" spans="1:13" ht="30" customHeight="1" x14ac:dyDescent="0.25">
      <c r="A9" s="10" t="s">
        <v>762</v>
      </c>
      <c r="B9" s="7" t="s">
        <v>749</v>
      </c>
      <c r="C9" s="7" t="s">
        <v>763</v>
      </c>
      <c r="D9" s="7" t="s">
        <v>240</v>
      </c>
      <c r="E9" s="9">
        <v>46279</v>
      </c>
      <c r="F9" s="7" t="s">
        <v>41</v>
      </c>
      <c r="G9" s="25" t="s">
        <v>751</v>
      </c>
      <c r="H9" s="25" t="s">
        <v>758</v>
      </c>
      <c r="I9" s="26">
        <v>944</v>
      </c>
      <c r="J9" s="25" t="s">
        <v>753</v>
      </c>
      <c r="K9" s="25" t="s">
        <v>754</v>
      </c>
      <c r="L9" s="7" t="s">
        <v>755</v>
      </c>
      <c r="M9" s="9">
        <v>46304</v>
      </c>
    </row>
    <row r="10" spans="1:13" ht="30" customHeight="1" x14ac:dyDescent="0.25">
      <c r="A10" s="10" t="s">
        <v>764</v>
      </c>
      <c r="B10" s="7" t="s">
        <v>749</v>
      </c>
      <c r="C10" s="7" t="s">
        <v>765</v>
      </c>
      <c r="D10" s="7" t="s">
        <v>262</v>
      </c>
      <c r="E10" s="9">
        <v>46288</v>
      </c>
      <c r="F10" s="7" t="s">
        <v>50</v>
      </c>
      <c r="G10" s="25" t="s">
        <v>751</v>
      </c>
      <c r="H10" s="25" t="s">
        <v>761</v>
      </c>
      <c r="I10" s="26">
        <v>896</v>
      </c>
      <c r="J10" s="25" t="s">
        <v>753</v>
      </c>
      <c r="K10" s="25" t="s">
        <v>754</v>
      </c>
      <c r="L10" s="7" t="s">
        <v>755</v>
      </c>
      <c r="M10" s="9">
        <v>46304</v>
      </c>
    </row>
    <row r="11" spans="1:13" ht="30" customHeight="1" x14ac:dyDescent="0.25">
      <c r="A11" s="10" t="s">
        <v>766</v>
      </c>
      <c r="B11" s="7" t="s">
        <v>749</v>
      </c>
      <c r="C11" s="7" t="s">
        <v>767</v>
      </c>
      <c r="D11" s="7" t="s">
        <v>342</v>
      </c>
      <c r="E11" s="9">
        <v>46290</v>
      </c>
      <c r="F11" s="7" t="s">
        <v>46</v>
      </c>
      <c r="G11" s="25" t="s">
        <v>751</v>
      </c>
      <c r="H11" s="25" t="s">
        <v>752</v>
      </c>
      <c r="I11" s="26">
        <v>824</v>
      </c>
      <c r="J11" s="25" t="s">
        <v>753</v>
      </c>
      <c r="K11" s="25" t="s">
        <v>754</v>
      </c>
      <c r="L11" s="7" t="s">
        <v>755</v>
      </c>
      <c r="M11" s="9">
        <v>46304</v>
      </c>
    </row>
    <row r="12" spans="1:13" ht="30" customHeight="1" x14ac:dyDescent="0.25">
      <c r="A12" s="10" t="s">
        <v>768</v>
      </c>
      <c r="B12" s="7" t="s">
        <v>749</v>
      </c>
      <c r="C12" s="7" t="s">
        <v>769</v>
      </c>
      <c r="D12" s="7" t="s">
        <v>375</v>
      </c>
      <c r="E12" s="9">
        <v>46282</v>
      </c>
      <c r="F12" s="7" t="s">
        <v>41</v>
      </c>
      <c r="G12" s="25" t="s">
        <v>751</v>
      </c>
      <c r="H12" s="25" t="s">
        <v>758</v>
      </c>
      <c r="I12" s="26">
        <v>784</v>
      </c>
      <c r="J12" s="25" t="s">
        <v>753</v>
      </c>
      <c r="K12" s="25" t="s">
        <v>754</v>
      </c>
      <c r="L12" s="7" t="s">
        <v>755</v>
      </c>
      <c r="M12" s="9">
        <v>46304</v>
      </c>
    </row>
    <row r="13" spans="1:13" ht="30" customHeight="1" x14ac:dyDescent="0.25">
      <c r="A13" s="10" t="s">
        <v>770</v>
      </c>
      <c r="B13" s="7" t="s">
        <v>771</v>
      </c>
      <c r="C13" s="7" t="s">
        <v>398</v>
      </c>
      <c r="D13" s="7" t="s">
        <v>40</v>
      </c>
      <c r="E13" s="9">
        <v>46288</v>
      </c>
      <c r="F13" s="7" t="s">
        <v>41</v>
      </c>
      <c r="G13" s="25" t="s">
        <v>772</v>
      </c>
      <c r="H13" s="25" t="s">
        <v>773</v>
      </c>
      <c r="I13" s="26">
        <v>624</v>
      </c>
      <c r="J13" s="25" t="s">
        <v>774</v>
      </c>
      <c r="K13" s="25" t="s">
        <v>775</v>
      </c>
      <c r="L13" s="7" t="s">
        <v>755</v>
      </c>
      <c r="M13" s="9">
        <v>46304</v>
      </c>
    </row>
    <row r="14" spans="1:13" ht="30" customHeight="1" x14ac:dyDescent="0.25">
      <c r="A14" s="10" t="s">
        <v>776</v>
      </c>
      <c r="B14" s="7" t="s">
        <v>771</v>
      </c>
      <c r="C14" s="7" t="s">
        <v>399</v>
      </c>
      <c r="D14" s="7" t="s">
        <v>110</v>
      </c>
      <c r="E14" s="9">
        <v>46279</v>
      </c>
      <c r="F14" s="7" t="s">
        <v>46</v>
      </c>
      <c r="G14" s="25" t="s">
        <v>777</v>
      </c>
      <c r="H14" s="25" t="s">
        <v>778</v>
      </c>
      <c r="I14" s="26">
        <v>328</v>
      </c>
      <c r="J14" s="25" t="s">
        <v>774</v>
      </c>
      <c r="K14" s="25" t="s">
        <v>775</v>
      </c>
      <c r="L14" s="7" t="s">
        <v>755</v>
      </c>
      <c r="M14" s="9">
        <v>46304</v>
      </c>
    </row>
    <row r="15" spans="1:13" ht="30" customHeight="1" x14ac:dyDescent="0.25">
      <c r="A15" s="10" t="s">
        <v>779</v>
      </c>
      <c r="B15" s="7" t="s">
        <v>771</v>
      </c>
      <c r="C15" s="7" t="s">
        <v>400</v>
      </c>
      <c r="D15" s="7" t="s">
        <v>158</v>
      </c>
      <c r="E15" s="9">
        <v>46287</v>
      </c>
      <c r="F15" s="7" t="s">
        <v>46</v>
      </c>
      <c r="G15" s="25" t="s">
        <v>780</v>
      </c>
      <c r="H15" s="25" t="s">
        <v>773</v>
      </c>
      <c r="I15" s="26">
        <v>880</v>
      </c>
      <c r="J15" s="25" t="s">
        <v>774</v>
      </c>
      <c r="K15" s="25" t="s">
        <v>775</v>
      </c>
      <c r="L15" s="7" t="s">
        <v>755</v>
      </c>
      <c r="M15" s="9">
        <v>46304</v>
      </c>
    </row>
    <row r="16" spans="1:13" ht="30" customHeight="1" x14ac:dyDescent="0.25">
      <c r="A16" s="10" t="s">
        <v>781</v>
      </c>
      <c r="B16" s="7" t="s">
        <v>771</v>
      </c>
      <c r="C16" s="7" t="s">
        <v>401</v>
      </c>
      <c r="D16" s="7" t="s">
        <v>229</v>
      </c>
      <c r="E16" s="9">
        <v>46281</v>
      </c>
      <c r="F16" s="7" t="s">
        <v>74</v>
      </c>
      <c r="G16" s="25" t="s">
        <v>782</v>
      </c>
      <c r="H16" s="25" t="s">
        <v>773</v>
      </c>
      <c r="I16" s="26">
        <v>1040</v>
      </c>
      <c r="J16" s="25" t="s">
        <v>774</v>
      </c>
      <c r="K16" s="25" t="s">
        <v>775</v>
      </c>
      <c r="L16" s="7" t="s">
        <v>755</v>
      </c>
      <c r="M16" s="9">
        <v>46304</v>
      </c>
    </row>
    <row r="17" spans="1:13" ht="30" customHeight="1" x14ac:dyDescent="0.25">
      <c r="A17" s="10" t="s">
        <v>783</v>
      </c>
      <c r="B17" s="7" t="s">
        <v>771</v>
      </c>
      <c r="C17" s="7" t="s">
        <v>402</v>
      </c>
      <c r="D17" s="7" t="s">
        <v>295</v>
      </c>
      <c r="E17" s="9">
        <v>46281</v>
      </c>
      <c r="F17" s="7" t="s">
        <v>46</v>
      </c>
      <c r="G17" s="25" t="s">
        <v>784</v>
      </c>
      <c r="H17" s="25" t="s">
        <v>773</v>
      </c>
      <c r="I17" s="26">
        <v>992</v>
      </c>
      <c r="J17" s="25" t="s">
        <v>774</v>
      </c>
      <c r="K17" s="25" t="s">
        <v>775</v>
      </c>
      <c r="L17" s="7" t="s">
        <v>755</v>
      </c>
      <c r="M17" s="9">
        <v>46304</v>
      </c>
    </row>
    <row r="18" spans="1:13" ht="30" customHeight="1" x14ac:dyDescent="0.25">
      <c r="A18" s="10" t="s">
        <v>785</v>
      </c>
      <c r="B18" s="7" t="s">
        <v>786</v>
      </c>
      <c r="C18" s="7" t="s">
        <v>88</v>
      </c>
      <c r="D18" s="7" t="s">
        <v>87</v>
      </c>
      <c r="E18" s="9">
        <v>46280</v>
      </c>
      <c r="F18" s="7" t="s">
        <v>74</v>
      </c>
      <c r="G18" s="25" t="s">
        <v>787</v>
      </c>
      <c r="H18" s="25" t="s">
        <v>788</v>
      </c>
      <c r="I18" s="26">
        <v>-64</v>
      </c>
      <c r="J18" s="25" t="s">
        <v>789</v>
      </c>
      <c r="K18" s="25" t="s">
        <v>790</v>
      </c>
      <c r="L18" s="7" t="s">
        <v>755</v>
      </c>
      <c r="M18" s="9">
        <v>46304</v>
      </c>
    </row>
    <row r="19" spans="1:13" ht="30" customHeight="1" x14ac:dyDescent="0.25">
      <c r="A19" s="10" t="s">
        <v>791</v>
      </c>
      <c r="B19" s="7" t="s">
        <v>786</v>
      </c>
      <c r="C19" s="7" t="s">
        <v>166</v>
      </c>
      <c r="D19" s="7" t="s">
        <v>158</v>
      </c>
      <c r="E19" s="9">
        <v>46288</v>
      </c>
      <c r="F19" s="7" t="s">
        <v>46</v>
      </c>
      <c r="G19" s="25" t="s">
        <v>792</v>
      </c>
      <c r="H19" s="25" t="s">
        <v>793</v>
      </c>
      <c r="I19" s="26">
        <v>-40</v>
      </c>
      <c r="J19" s="25" t="s">
        <v>789</v>
      </c>
      <c r="K19" s="25" t="s">
        <v>790</v>
      </c>
      <c r="L19" s="7" t="s">
        <v>755</v>
      </c>
      <c r="M19" s="9">
        <v>46304</v>
      </c>
    </row>
    <row r="20" spans="1:13" ht="30" customHeight="1" x14ac:dyDescent="0.25">
      <c r="A20" s="10" t="s">
        <v>794</v>
      </c>
      <c r="B20" s="7" t="s">
        <v>786</v>
      </c>
      <c r="C20" s="7" t="s">
        <v>249</v>
      </c>
      <c r="D20" s="7" t="s">
        <v>250</v>
      </c>
      <c r="E20" s="9">
        <v>46279</v>
      </c>
      <c r="F20" s="7" t="s">
        <v>46</v>
      </c>
      <c r="G20" s="25" t="s">
        <v>795</v>
      </c>
      <c r="H20" s="25" t="s">
        <v>796</v>
      </c>
      <c r="I20" s="26">
        <v>-48</v>
      </c>
      <c r="J20" s="25" t="s">
        <v>789</v>
      </c>
      <c r="K20" s="25" t="s">
        <v>790</v>
      </c>
      <c r="L20" s="7" t="s">
        <v>755</v>
      </c>
      <c r="M20" s="9">
        <v>46304</v>
      </c>
    </row>
    <row r="21" spans="1:13" ht="30" customHeight="1" x14ac:dyDescent="0.25">
      <c r="A21" s="10" t="s">
        <v>797</v>
      </c>
      <c r="B21" s="7" t="s">
        <v>786</v>
      </c>
      <c r="C21" s="7" t="s">
        <v>331</v>
      </c>
      <c r="D21" s="7" t="s">
        <v>329</v>
      </c>
      <c r="E21" s="9">
        <v>46281</v>
      </c>
      <c r="F21" s="7" t="s">
        <v>41</v>
      </c>
      <c r="G21" s="25" t="s">
        <v>798</v>
      </c>
      <c r="H21" s="25" t="s">
        <v>799</v>
      </c>
      <c r="I21" s="26">
        <v>40</v>
      </c>
      <c r="J21" s="25" t="s">
        <v>789</v>
      </c>
      <c r="K21" s="25" t="s">
        <v>790</v>
      </c>
      <c r="L21" s="7" t="s">
        <v>755</v>
      </c>
      <c r="M21" s="9">
        <v>46304</v>
      </c>
    </row>
    <row r="22" spans="1:13" ht="30" customHeight="1" x14ac:dyDescent="0.25">
      <c r="A22" s="10" t="s">
        <v>800</v>
      </c>
      <c r="B22" s="7" t="s">
        <v>801</v>
      </c>
      <c r="C22" s="7" t="s">
        <v>127</v>
      </c>
      <c r="D22" s="7" t="s">
        <v>124</v>
      </c>
      <c r="E22" s="9">
        <v>46282</v>
      </c>
      <c r="F22" s="7" t="s">
        <v>50</v>
      </c>
      <c r="G22" s="25" t="s">
        <v>802</v>
      </c>
      <c r="H22" s="25" t="s">
        <v>803</v>
      </c>
      <c r="I22" s="26">
        <v>5328</v>
      </c>
      <c r="J22" s="25" t="s">
        <v>804</v>
      </c>
      <c r="K22" s="25" t="s">
        <v>20</v>
      </c>
      <c r="L22" s="7" t="s">
        <v>755</v>
      </c>
      <c r="M22" s="9">
        <v>46304</v>
      </c>
    </row>
    <row r="23" spans="1:13" ht="30" customHeight="1" x14ac:dyDescent="0.25">
      <c r="A23" s="10" t="s">
        <v>805</v>
      </c>
      <c r="B23" s="7" t="s">
        <v>801</v>
      </c>
      <c r="C23" s="7" t="s">
        <v>291</v>
      </c>
      <c r="D23" s="7" t="s">
        <v>284</v>
      </c>
      <c r="E23" s="9">
        <v>46288</v>
      </c>
      <c r="F23" s="7" t="s">
        <v>41</v>
      </c>
      <c r="G23" s="25" t="s">
        <v>806</v>
      </c>
      <c r="H23" s="25" t="s">
        <v>807</v>
      </c>
      <c r="I23" s="26"/>
      <c r="J23" s="25" t="s">
        <v>808</v>
      </c>
      <c r="K23" s="25" t="s">
        <v>809</v>
      </c>
      <c r="L23" s="7" t="s">
        <v>755</v>
      </c>
      <c r="M23" s="9">
        <v>46304</v>
      </c>
    </row>
    <row r="24" spans="1:13" ht="30" customHeight="1" x14ac:dyDescent="0.25">
      <c r="A24" s="10" t="s">
        <v>810</v>
      </c>
      <c r="B24" s="7" t="s">
        <v>811</v>
      </c>
      <c r="C24" s="7" t="s">
        <v>397</v>
      </c>
      <c r="D24" s="7" t="s">
        <v>72</v>
      </c>
      <c r="E24" s="9">
        <v>46284</v>
      </c>
      <c r="F24" s="7" t="s">
        <v>41</v>
      </c>
      <c r="G24" s="25" t="s">
        <v>812</v>
      </c>
      <c r="H24" s="25" t="s">
        <v>813</v>
      </c>
      <c r="I24" s="26"/>
      <c r="J24" s="25" t="s">
        <v>814</v>
      </c>
      <c r="K24" s="25" t="s">
        <v>815</v>
      </c>
      <c r="L24" s="7" t="s">
        <v>755</v>
      </c>
      <c r="M24" s="9">
        <v>46304</v>
      </c>
    </row>
    <row r="25" spans="1:13" ht="30" customHeight="1" x14ac:dyDescent="0.25">
      <c r="A25" s="10" t="s">
        <v>816</v>
      </c>
      <c r="B25" s="7" t="s">
        <v>817</v>
      </c>
      <c r="C25" s="7" t="s">
        <v>186</v>
      </c>
      <c r="D25" s="7" t="s">
        <v>180</v>
      </c>
      <c r="E25" s="9">
        <v>46287</v>
      </c>
      <c r="F25" s="7" t="s">
        <v>187</v>
      </c>
      <c r="G25" s="25" t="s">
        <v>818</v>
      </c>
      <c r="H25" s="25" t="s">
        <v>819</v>
      </c>
      <c r="I25" s="26">
        <v>928</v>
      </c>
      <c r="J25" s="25" t="s">
        <v>820</v>
      </c>
      <c r="K25" s="25" t="s">
        <v>821</v>
      </c>
      <c r="L25" s="7" t="s">
        <v>755</v>
      </c>
      <c r="M25" s="9">
        <v>46304</v>
      </c>
    </row>
    <row r="26" spans="1:13" ht="30" customHeight="1" x14ac:dyDescent="0.25">
      <c r="A26" s="10" t="s">
        <v>822</v>
      </c>
      <c r="B26" s="7" t="s">
        <v>823</v>
      </c>
      <c r="C26" s="7" t="s">
        <v>453</v>
      </c>
      <c r="D26" s="7" t="s">
        <v>147</v>
      </c>
      <c r="E26" s="9">
        <v>46280</v>
      </c>
      <c r="F26" s="7" t="s">
        <v>41</v>
      </c>
      <c r="G26" s="25" t="s">
        <v>824</v>
      </c>
      <c r="H26" s="25" t="s">
        <v>825</v>
      </c>
      <c r="I26" s="26">
        <v>-156</v>
      </c>
      <c r="J26" s="25" t="s">
        <v>826</v>
      </c>
      <c r="K26" s="25" t="s">
        <v>827</v>
      </c>
      <c r="L26" s="7" t="s">
        <v>755</v>
      </c>
      <c r="M26" s="9">
        <v>46304</v>
      </c>
    </row>
    <row r="27" spans="1:13" ht="30" customHeight="1" x14ac:dyDescent="0.25">
      <c r="A27" s="10" t="s">
        <v>828</v>
      </c>
      <c r="B27" s="7" t="s">
        <v>823</v>
      </c>
      <c r="C27" s="7" t="s">
        <v>498</v>
      </c>
      <c r="D27" s="7" t="s">
        <v>307</v>
      </c>
      <c r="E27" s="9">
        <v>46281</v>
      </c>
      <c r="F27" s="7" t="s">
        <v>50</v>
      </c>
      <c r="G27" s="25" t="s">
        <v>824</v>
      </c>
      <c r="H27" s="25" t="s">
        <v>825</v>
      </c>
      <c r="I27" s="26">
        <v>-224</v>
      </c>
      <c r="J27" s="25" t="s">
        <v>826</v>
      </c>
      <c r="K27" s="25" t="s">
        <v>827</v>
      </c>
      <c r="L27" s="7" t="s">
        <v>755</v>
      </c>
      <c r="M27" s="9">
        <v>46304</v>
      </c>
    </row>
    <row r="28" spans="1:13" ht="30" customHeight="1" x14ac:dyDescent="0.25">
      <c r="A28" s="10" t="s">
        <v>829</v>
      </c>
      <c r="B28" s="7" t="s">
        <v>823</v>
      </c>
      <c r="C28" s="7" t="s">
        <v>514</v>
      </c>
      <c r="D28" s="7" t="s">
        <v>124</v>
      </c>
      <c r="E28" s="9">
        <v>46282</v>
      </c>
      <c r="F28" s="7" t="s">
        <v>50</v>
      </c>
      <c r="G28" s="25" t="s">
        <v>830</v>
      </c>
      <c r="H28" s="25" t="s">
        <v>831</v>
      </c>
      <c r="I28" s="26">
        <v>-5328</v>
      </c>
      <c r="J28" s="25" t="s">
        <v>832</v>
      </c>
      <c r="K28" s="25" t="s">
        <v>827</v>
      </c>
      <c r="L28" s="7" t="s">
        <v>755</v>
      </c>
      <c r="M28" s="9">
        <v>46304</v>
      </c>
    </row>
    <row r="29" spans="1:13" ht="30" customHeight="1" x14ac:dyDescent="0.25">
      <c r="A29" s="10" t="s">
        <v>833</v>
      </c>
      <c r="B29" s="7" t="s">
        <v>823</v>
      </c>
      <c r="C29" s="7" t="s">
        <v>552</v>
      </c>
      <c r="D29" s="7" t="s">
        <v>229</v>
      </c>
      <c r="E29" s="9">
        <v>46283</v>
      </c>
      <c r="F29" s="7" t="s">
        <v>74</v>
      </c>
      <c r="G29" s="25" t="s">
        <v>824</v>
      </c>
      <c r="H29" s="25" t="s">
        <v>825</v>
      </c>
      <c r="I29" s="26">
        <v>-260</v>
      </c>
      <c r="J29" s="25" t="s">
        <v>826</v>
      </c>
      <c r="K29" s="25" t="s">
        <v>827</v>
      </c>
      <c r="L29" s="7" t="s">
        <v>755</v>
      </c>
      <c r="M29" s="9">
        <v>46304</v>
      </c>
    </row>
    <row r="30" spans="1:13" ht="30" customHeight="1" x14ac:dyDescent="0.25">
      <c r="A30" s="10" t="s">
        <v>834</v>
      </c>
      <c r="B30" s="7" t="s">
        <v>823</v>
      </c>
      <c r="C30" s="7" t="s">
        <v>698</v>
      </c>
      <c r="D30" s="7" t="s">
        <v>58</v>
      </c>
      <c r="E30" s="9">
        <v>46290</v>
      </c>
      <c r="F30" s="7" t="s">
        <v>46</v>
      </c>
      <c r="G30" s="25" t="s">
        <v>824</v>
      </c>
      <c r="H30" s="25" t="s">
        <v>825</v>
      </c>
      <c r="I30" s="26">
        <v>-164</v>
      </c>
      <c r="J30" s="25" t="s">
        <v>826</v>
      </c>
      <c r="K30" s="25" t="s">
        <v>827</v>
      </c>
      <c r="L30" s="7" t="s">
        <v>755</v>
      </c>
      <c r="M30" s="9">
        <v>46304</v>
      </c>
    </row>
    <row r="31" spans="1:13" ht="30" customHeight="1" x14ac:dyDescent="0.25">
      <c r="A31" s="10" t="s">
        <v>835</v>
      </c>
      <c r="B31" s="7" t="s">
        <v>836</v>
      </c>
      <c r="C31" s="7" t="s">
        <v>604</v>
      </c>
      <c r="D31" s="7" t="s">
        <v>99</v>
      </c>
      <c r="E31" s="9">
        <v>46287</v>
      </c>
      <c r="F31" s="7" t="s">
        <v>41</v>
      </c>
      <c r="G31" s="25" t="s">
        <v>837</v>
      </c>
      <c r="H31" s="25" t="s">
        <v>838</v>
      </c>
      <c r="I31" s="26">
        <v>64</v>
      </c>
      <c r="J31" s="25" t="s">
        <v>839</v>
      </c>
      <c r="K31" s="25" t="s">
        <v>815</v>
      </c>
      <c r="L31" s="7" t="s">
        <v>755</v>
      </c>
      <c r="M31" s="9">
        <v>46304</v>
      </c>
    </row>
    <row r="32" spans="1:13" ht="30" customHeight="1" x14ac:dyDescent="0.25">
      <c r="A32" s="10" t="s">
        <v>840</v>
      </c>
      <c r="B32" s="7" t="s">
        <v>836</v>
      </c>
      <c r="C32" s="7" t="s">
        <v>709</v>
      </c>
      <c r="D32" s="7" t="s">
        <v>180</v>
      </c>
      <c r="E32" s="9">
        <v>46290</v>
      </c>
      <c r="F32" s="7" t="s">
        <v>74</v>
      </c>
      <c r="G32" s="25" t="s">
        <v>841</v>
      </c>
      <c r="H32" s="25" t="s">
        <v>842</v>
      </c>
      <c r="I32" s="26">
        <v>-48</v>
      </c>
      <c r="J32" s="25" t="s">
        <v>839</v>
      </c>
      <c r="K32" s="25" t="s">
        <v>815</v>
      </c>
      <c r="L32" s="7" t="s">
        <v>755</v>
      </c>
      <c r="M32" s="9">
        <v>46304</v>
      </c>
    </row>
    <row r="33" spans="1:13" ht="30" customHeight="1" x14ac:dyDescent="0.25">
      <c r="A33" s="10" t="s">
        <v>843</v>
      </c>
      <c r="B33" s="7" t="s">
        <v>836</v>
      </c>
      <c r="C33" s="7" t="s">
        <v>716</v>
      </c>
      <c r="D33" s="7" t="s">
        <v>262</v>
      </c>
      <c r="E33" s="9">
        <v>46290</v>
      </c>
      <c r="F33" s="7" t="s">
        <v>50</v>
      </c>
      <c r="G33" s="25" t="s">
        <v>844</v>
      </c>
      <c r="H33" s="25" t="s">
        <v>845</v>
      </c>
      <c r="I33" s="26">
        <v>80</v>
      </c>
      <c r="J33" s="25" t="s">
        <v>839</v>
      </c>
      <c r="K33" s="25" t="s">
        <v>815</v>
      </c>
      <c r="L33" s="7" t="s">
        <v>755</v>
      </c>
      <c r="M33" s="9">
        <v>46304</v>
      </c>
    </row>
    <row r="34" spans="1:13" ht="30" customHeight="1" x14ac:dyDescent="0.25">
      <c r="A34" s="10" t="s">
        <v>846</v>
      </c>
      <c r="B34" s="7" t="s">
        <v>847</v>
      </c>
      <c r="C34" s="7" t="s">
        <v>446</v>
      </c>
      <c r="D34" s="7" t="s">
        <v>58</v>
      </c>
      <c r="E34" s="9">
        <v>46280</v>
      </c>
      <c r="F34" s="7" t="s">
        <v>46</v>
      </c>
      <c r="G34" s="25" t="s">
        <v>848</v>
      </c>
      <c r="H34" s="25" t="s">
        <v>849</v>
      </c>
      <c r="I34" s="26">
        <v>656</v>
      </c>
      <c r="J34" s="25" t="s">
        <v>850</v>
      </c>
      <c r="K34" s="25" t="s">
        <v>827</v>
      </c>
      <c r="L34" s="7" t="s">
        <v>755</v>
      </c>
      <c r="M34" s="9">
        <v>46304</v>
      </c>
    </row>
    <row r="35" spans="1:13" ht="30" customHeight="1" x14ac:dyDescent="0.25">
      <c r="A35" s="10" t="s">
        <v>851</v>
      </c>
      <c r="B35" s="7" t="s">
        <v>847</v>
      </c>
      <c r="C35" s="7" t="s">
        <v>582</v>
      </c>
      <c r="D35" s="7" t="s">
        <v>206</v>
      </c>
      <c r="E35" s="9">
        <v>46286</v>
      </c>
      <c r="F35" s="7" t="s">
        <v>46</v>
      </c>
      <c r="G35" s="25" t="s">
        <v>848</v>
      </c>
      <c r="H35" s="25" t="s">
        <v>849</v>
      </c>
      <c r="I35" s="26">
        <v>880</v>
      </c>
      <c r="J35" s="25" t="s">
        <v>850</v>
      </c>
      <c r="K35" s="25" t="s">
        <v>827</v>
      </c>
      <c r="L35" s="7" t="s">
        <v>755</v>
      </c>
      <c r="M35" s="9">
        <v>46304</v>
      </c>
    </row>
    <row r="36" spans="1:13" ht="30" customHeight="1" x14ac:dyDescent="0.25">
      <c r="A36" s="10" t="s">
        <v>852</v>
      </c>
      <c r="B36" s="7" t="s">
        <v>847</v>
      </c>
      <c r="C36" s="7" t="s">
        <v>610</v>
      </c>
      <c r="D36" s="7" t="s">
        <v>180</v>
      </c>
      <c r="E36" s="9">
        <v>46287</v>
      </c>
      <c r="F36" s="7" t="s">
        <v>41</v>
      </c>
      <c r="G36" s="25" t="s">
        <v>853</v>
      </c>
      <c r="H36" s="25" t="s">
        <v>854</v>
      </c>
      <c r="I36" s="26">
        <v>420</v>
      </c>
      <c r="J36" s="25" t="s">
        <v>855</v>
      </c>
      <c r="K36" s="25" t="s">
        <v>827</v>
      </c>
      <c r="L36" s="7" t="s">
        <v>755</v>
      </c>
      <c r="M36" s="9">
        <v>46304</v>
      </c>
    </row>
    <row r="37" spans="1:13" ht="30" customHeight="1" x14ac:dyDescent="0.25">
      <c r="A37" s="10" t="s">
        <v>856</v>
      </c>
      <c r="B37" s="7" t="s">
        <v>857</v>
      </c>
      <c r="C37" s="7" t="s">
        <v>129</v>
      </c>
      <c r="D37" s="7" t="s">
        <v>124</v>
      </c>
      <c r="E37" s="9">
        <v>46286</v>
      </c>
      <c r="F37" s="7" t="s">
        <v>50</v>
      </c>
      <c r="G37" s="25" t="s">
        <v>858</v>
      </c>
      <c r="H37" s="25" t="s">
        <v>859</v>
      </c>
      <c r="I37" s="26">
        <v>592</v>
      </c>
      <c r="J37" s="25" t="s">
        <v>860</v>
      </c>
      <c r="K37" s="25" t="s">
        <v>827</v>
      </c>
      <c r="L37" s="7" t="s">
        <v>755</v>
      </c>
      <c r="M37" s="9">
        <v>46304</v>
      </c>
    </row>
    <row r="38" spans="1:13" ht="30" customHeight="1" x14ac:dyDescent="0.25">
      <c r="A38" s="10" t="s">
        <v>861</v>
      </c>
      <c r="B38" s="7" t="s">
        <v>857</v>
      </c>
      <c r="C38" s="7" t="s">
        <v>334</v>
      </c>
      <c r="D38" s="7" t="s">
        <v>329</v>
      </c>
      <c r="E38" s="9">
        <v>46286</v>
      </c>
      <c r="F38" s="7" t="s">
        <v>41</v>
      </c>
      <c r="G38" s="25" t="s">
        <v>858</v>
      </c>
      <c r="H38" s="25" t="s">
        <v>859</v>
      </c>
      <c r="I38" s="26">
        <v>784</v>
      </c>
      <c r="J38" s="25" t="s">
        <v>860</v>
      </c>
      <c r="K38" s="25" t="s">
        <v>827</v>
      </c>
      <c r="L38" s="7" t="s">
        <v>755</v>
      </c>
      <c r="M38" s="9">
        <v>46304</v>
      </c>
    </row>
  </sheetData>
  <autoFilter ref="A5:M38" xr:uid="{00000000-0009-0000-0000-000004000000}"/>
  <mergeCells count="1">
    <mergeCell ref="A1:M1"/>
  </mergeCells>
  <dataValidations count="1">
    <dataValidation type="list" allowBlank="1" showErrorMessage="1" errorTitle="Invalid entry" error="Open, In progress or Resolved." sqref="L6:L38" xr:uid="{00000000-0002-0000-0400-000000000000}">
      <formula1>"Open,In progress,Resolved"</formula1>
      <formula2>0</formula2>
    </dataValidation>
  </dataValidations>
  <printOptions horizontalCentered="1"/>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7"/>
  <sheetViews>
    <sheetView topLeftCell="A8" zoomScaleNormal="100" workbookViewId="0">
      <selection activeCell="A27" sqref="A27:G27"/>
    </sheetView>
  </sheetViews>
  <sheetFormatPr defaultColWidth="8.7109375" defaultRowHeight="15" x14ac:dyDescent="0.25"/>
  <cols>
    <col min="1" max="1" width="4" customWidth="1"/>
    <col min="2" max="2" width="44" customWidth="1"/>
    <col min="3" max="3" width="60" customWidth="1"/>
    <col min="4" max="4" width="14" customWidth="1"/>
    <col min="5" max="5" width="16" customWidth="1"/>
    <col min="6" max="6" width="14" customWidth="1"/>
    <col min="7" max="7" width="18" customWidth="1"/>
  </cols>
  <sheetData>
    <row r="1" spans="1:7" ht="30" customHeight="1" x14ac:dyDescent="0.25">
      <c r="A1" s="33" t="s">
        <v>0</v>
      </c>
      <c r="B1" s="33"/>
      <c r="C1" s="33"/>
      <c r="D1" s="33"/>
      <c r="E1" s="33"/>
      <c r="F1" s="33"/>
      <c r="G1" s="33"/>
    </row>
    <row r="2" spans="1:7" ht="18" x14ac:dyDescent="0.25">
      <c r="A2" s="1" t="s">
        <v>862</v>
      </c>
    </row>
    <row r="3" spans="1:7" x14ac:dyDescent="0.25">
      <c r="A3" s="2" t="s">
        <v>863</v>
      </c>
    </row>
    <row r="5" spans="1:7" ht="39.75" customHeight="1" x14ac:dyDescent="0.25">
      <c r="A5" s="6" t="s">
        <v>864</v>
      </c>
      <c r="B5" s="6" t="s">
        <v>865</v>
      </c>
      <c r="C5" s="6" t="s">
        <v>866</v>
      </c>
      <c r="D5" s="6" t="s">
        <v>867</v>
      </c>
      <c r="E5" s="6" t="s">
        <v>868</v>
      </c>
      <c r="F5" s="6" t="s">
        <v>869</v>
      </c>
      <c r="G5" s="6" t="s">
        <v>870</v>
      </c>
    </row>
    <row r="6" spans="1:7" ht="42" customHeight="1" x14ac:dyDescent="0.25">
      <c r="A6" s="10">
        <v>1</v>
      </c>
      <c r="B6" s="3" t="s">
        <v>735</v>
      </c>
      <c r="C6" s="4" t="s">
        <v>871</v>
      </c>
      <c r="D6" s="27">
        <f>Coverage!C37-Coverage!C38</f>
        <v>297</v>
      </c>
      <c r="E6" s="28">
        <f>Coverage!C39</f>
        <v>7</v>
      </c>
      <c r="F6" s="29">
        <v>7</v>
      </c>
      <c r="G6" s="28">
        <f>COUNTIF(Discrepancy_Log!$B$6:$B$38,"MISSING TIME")</f>
        <v>7</v>
      </c>
    </row>
    <row r="7" spans="1:7" ht="42" customHeight="1" x14ac:dyDescent="0.25">
      <c r="A7" s="10">
        <v>2</v>
      </c>
      <c r="B7" s="3" t="s">
        <v>872</v>
      </c>
      <c r="C7" s="4" t="s">
        <v>873</v>
      </c>
      <c r="D7" s="27">
        <f>COUNTA(Time_Entries!$A$5:$A$332)</f>
        <v>328</v>
      </c>
      <c r="E7" s="28">
        <f>COUNTIF(Time_Entries!$N$5:$N$332,"DUPLICATE")</f>
        <v>5</v>
      </c>
      <c r="F7" s="29">
        <v>5</v>
      </c>
      <c r="G7" s="28">
        <f>COUNTIF(Discrepancy_Log!$B$6:$B$38,"DUPLICATE")</f>
        <v>5</v>
      </c>
    </row>
    <row r="8" spans="1:7" ht="42" customHeight="1" x14ac:dyDescent="0.25">
      <c r="A8" s="10">
        <v>3</v>
      </c>
      <c r="B8" s="3" t="s">
        <v>874</v>
      </c>
      <c r="C8" s="4" t="s">
        <v>875</v>
      </c>
      <c r="D8" s="27">
        <f>COUNTIF(Time_Entries!$I$5:$I$332,"Y")</f>
        <v>319</v>
      </c>
      <c r="E8" s="28">
        <f>COUNTIF(Time_Entries!$R$5:$R$332,"RATE")</f>
        <v>4</v>
      </c>
      <c r="F8" s="29">
        <v>4</v>
      </c>
      <c r="G8" s="28">
        <f>COUNTIF(Discrepancy_Log!$B$6:$B$38,"RATE")</f>
        <v>4</v>
      </c>
    </row>
    <row r="9" spans="1:7" ht="42" customHeight="1" x14ac:dyDescent="0.25">
      <c r="A9" s="10">
        <v>4</v>
      </c>
      <c r="B9" s="3" t="s">
        <v>876</v>
      </c>
      <c r="C9" s="4" t="s">
        <v>877</v>
      </c>
      <c r="D9" s="27">
        <f>COUNTA(Time_Entries!$A$5:$A$332)</f>
        <v>328</v>
      </c>
      <c r="E9" s="28">
        <f>COUNTIF(Time_Entries!$O$5:$O$332,"HOURS?")</f>
        <v>2</v>
      </c>
      <c r="F9" s="29">
        <v>2</v>
      </c>
      <c r="G9" s="28">
        <f>COUNTIF(Discrepancy_Log!$B$6:$B$38,"HOURS RANGE")</f>
        <v>2</v>
      </c>
    </row>
    <row r="10" spans="1:7" ht="42" customHeight="1" x14ac:dyDescent="0.25">
      <c r="A10" s="10">
        <v>5</v>
      </c>
      <c r="B10" s="3" t="s">
        <v>878</v>
      </c>
      <c r="C10" s="4" t="s">
        <v>879</v>
      </c>
      <c r="D10" s="27">
        <f>COUNTA(Time_Entries!$A$5:$A$332)</f>
        <v>328</v>
      </c>
      <c r="E10" s="28">
        <f>COUNTIF(Time_Entries!$P$5:$P$332,"WEEKEND")</f>
        <v>1</v>
      </c>
      <c r="F10" s="29">
        <v>1</v>
      </c>
      <c r="G10" s="28">
        <f>COUNTIF(Discrepancy_Log!$B$6:$B$38,"WEEKEND")</f>
        <v>1</v>
      </c>
    </row>
    <row r="11" spans="1:7" ht="42" customHeight="1" x14ac:dyDescent="0.25">
      <c r="A11" s="10">
        <v>6</v>
      </c>
      <c r="B11" s="3" t="s">
        <v>880</v>
      </c>
      <c r="C11" s="4" t="s">
        <v>881</v>
      </c>
      <c r="D11" s="27">
        <f>COUNTA(Time_Entries!$A$5:$A$332)</f>
        <v>328</v>
      </c>
      <c r="E11" s="28">
        <f>COUNTIF(Time_Entries!$Q$5:$Q$332,"PROJECT?")</f>
        <v>1</v>
      </c>
      <c r="F11" s="29">
        <v>1</v>
      </c>
      <c r="G11" s="28">
        <f>COUNTIF(Discrepancy_Log!$B$6:$B$38,"PROJECT CODE")</f>
        <v>1</v>
      </c>
    </row>
    <row r="12" spans="1:7" ht="42" customHeight="1" x14ac:dyDescent="0.25">
      <c r="A12" s="10">
        <v>7</v>
      </c>
      <c r="B12" s="3" t="s">
        <v>882</v>
      </c>
      <c r="C12" s="4" t="s">
        <v>883</v>
      </c>
      <c r="D12" s="27">
        <f>COUNTA(Billing_Data!A5:A319)</f>
        <v>315</v>
      </c>
      <c r="E12" s="28">
        <f>COUNTIF(Billing_Data!O5:O319,"HOURS")</f>
        <v>5</v>
      </c>
      <c r="F12" s="29">
        <v>5</v>
      </c>
      <c r="G12" s="28">
        <f>COUNTIF(Discrepancy_Log!$B$6:$B$38,"BILLING HOURS")</f>
        <v>5</v>
      </c>
    </row>
    <row r="13" spans="1:7" ht="42" customHeight="1" x14ac:dyDescent="0.25">
      <c r="A13" s="10">
        <v>8</v>
      </c>
      <c r="B13" s="3" t="s">
        <v>884</v>
      </c>
      <c r="C13" s="4" t="s">
        <v>885</v>
      </c>
      <c r="D13" s="27">
        <f>COUNTA(Billing_Data!A5:A319)</f>
        <v>315</v>
      </c>
      <c r="E13" s="28">
        <f>COUNTIF(Billing_Data!O5:O319,"RATE")</f>
        <v>3</v>
      </c>
      <c r="F13" s="29">
        <v>3</v>
      </c>
      <c r="G13" s="28">
        <f>COUNTIF(Discrepancy_Log!$B$6:$B$38,"BILLING RATE")</f>
        <v>3</v>
      </c>
    </row>
    <row r="14" spans="1:7" ht="42" customHeight="1" x14ac:dyDescent="0.25">
      <c r="A14" s="10">
        <v>9</v>
      </c>
      <c r="B14" s="3" t="s">
        <v>886</v>
      </c>
      <c r="C14" s="4" t="s">
        <v>887</v>
      </c>
      <c r="D14" s="27">
        <f>COUNTA(Billing_Data!A5:A319)</f>
        <v>315</v>
      </c>
      <c r="E14" s="28">
        <f>COUNTIF(Billing_Data!O5:O319,"NO TIME ENTRY")</f>
        <v>3</v>
      </c>
      <c r="F14" s="29">
        <v>3</v>
      </c>
      <c r="G14" s="28">
        <f>COUNTIF(Discrepancy_Log!$B$6:$B$38,"NO TIME ENTRY")</f>
        <v>3</v>
      </c>
    </row>
    <row r="15" spans="1:7" ht="42" customHeight="1" x14ac:dyDescent="0.25">
      <c r="A15" s="10">
        <v>10</v>
      </c>
      <c r="B15" s="3" t="s">
        <v>888</v>
      </c>
      <c r="C15" s="4" t="s">
        <v>889</v>
      </c>
      <c r="D15" s="27">
        <f>COUNTIF(Time_Entries!$I$5:$I$332,"Y")</f>
        <v>319</v>
      </c>
      <c r="E15" s="28">
        <f>COUNTIF(Time_Entries!$S$5:$S$332,"NOT BILLED")</f>
        <v>2</v>
      </c>
      <c r="F15" s="29">
        <v>2</v>
      </c>
      <c r="G15" s="28">
        <f>COUNTIF(Discrepancy_Log!$B$6:$B$38,"NOT BILLED")</f>
        <v>2</v>
      </c>
    </row>
    <row r="16" spans="1:7" x14ac:dyDescent="0.25">
      <c r="B16" s="24" t="s">
        <v>890</v>
      </c>
      <c r="E16" s="24" t="str">
        <f>IF(AND(E6=F6,E7=F7,E8=F8,E9=F9,E10=F10,E11=F11,E12=F12,E13=F13,E14=F14,E15=F15),"All checks match expected","Review")</f>
        <v>All checks match expected</v>
      </c>
      <c r="G16" s="24" t="str">
        <f>IF(AND(E6=G6,E7=G7,E8=G8,E9=G9,E10=G10,E11=G11,E12=G12,E13=G13,E14=G14,E15=G15),"Log matches checks","Log differs")</f>
        <v>Log matches checks</v>
      </c>
    </row>
    <row r="18" spans="1:7" x14ac:dyDescent="0.25">
      <c r="B18" s="24" t="s">
        <v>891</v>
      </c>
    </row>
    <row r="19" spans="1:7" x14ac:dyDescent="0.25">
      <c r="B19" s="10" t="s">
        <v>892</v>
      </c>
      <c r="C19" s="30">
        <f>SUMIFS(Time_Entries!$J$5:$J$332,Time_Entries!$I$5:$I$332,"Y",Time_Entries!$N$5:$N$332,"")</f>
        <v>2368.5</v>
      </c>
    </row>
    <row r="20" spans="1:7" x14ac:dyDescent="0.25">
      <c r="B20" s="10" t="s">
        <v>893</v>
      </c>
      <c r="C20" s="31">
        <f>SUM(Time_Entries!$U$5:$U$332)</f>
        <v>239879</v>
      </c>
    </row>
    <row r="21" spans="1:7" x14ac:dyDescent="0.25">
      <c r="B21" s="10" t="s">
        <v>894</v>
      </c>
      <c r="C21" s="31">
        <f>SUM(Billing_Data!G5:G319)</f>
        <v>234467</v>
      </c>
    </row>
    <row r="22" spans="1:7" x14ac:dyDescent="0.25">
      <c r="B22" s="10" t="s">
        <v>895</v>
      </c>
      <c r="C22" s="32">
        <f>C21-C20</f>
        <v>-5412</v>
      </c>
    </row>
    <row r="23" spans="1:7" x14ac:dyDescent="0.25">
      <c r="B23" s="10" t="s">
        <v>896</v>
      </c>
      <c r="C23" s="30">
        <f>SUMIFS(Time_Entries!$J$5:$J$332,Time_Entries!$N$5:$N$332,"DUPLICATE")</f>
        <v>36</v>
      </c>
    </row>
    <row r="25" spans="1:7" ht="13.5" customHeight="1" x14ac:dyDescent="0.25">
      <c r="A25" s="34" t="s">
        <v>947</v>
      </c>
      <c r="B25" s="34"/>
      <c r="C25" s="34"/>
      <c r="D25" s="34"/>
      <c r="E25" s="34"/>
      <c r="F25" s="34"/>
      <c r="G25" s="34"/>
    </row>
    <row r="26" spans="1:7" ht="27.75" customHeight="1" x14ac:dyDescent="0.25">
      <c r="A26" s="35" t="s">
        <v>897</v>
      </c>
      <c r="B26" s="35"/>
      <c r="C26" s="35"/>
      <c r="D26" s="35"/>
      <c r="E26" s="35"/>
      <c r="F26" s="35"/>
      <c r="G26" s="35"/>
    </row>
    <row r="27" spans="1:7" ht="27.75" customHeight="1" x14ac:dyDescent="0.25">
      <c r="A27" s="35" t="s">
        <v>898</v>
      </c>
      <c r="B27" s="35"/>
      <c r="C27" s="35"/>
      <c r="D27" s="35"/>
      <c r="E27" s="35"/>
      <c r="F27" s="35"/>
      <c r="G27" s="35"/>
    </row>
  </sheetData>
  <mergeCells count="4">
    <mergeCell ref="A1:G1"/>
    <mergeCell ref="A25:G25"/>
    <mergeCell ref="A26:G26"/>
    <mergeCell ref="A27:G27"/>
  </mergeCells>
  <printOptions horizontalCentered="1"/>
  <pageMargins left="0.4" right="0.4" top="0.5" bottom="0.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34"/>
  <sheetViews>
    <sheetView zoomScaleNormal="100" workbookViewId="0">
      <selection sqref="A1:P1"/>
    </sheetView>
  </sheetViews>
  <sheetFormatPr defaultColWidth="8.7109375" defaultRowHeight="15" x14ac:dyDescent="0.25"/>
  <cols>
    <col min="1" max="1" width="12" customWidth="1"/>
    <col min="2" max="2" width="22" customWidth="1"/>
    <col min="3" max="3" width="20" customWidth="1"/>
    <col min="4" max="4" width="3" customWidth="1"/>
    <col min="5" max="5" width="10" customWidth="1"/>
    <col min="6" max="6" width="32" customWidth="1"/>
    <col min="7" max="7" width="10" customWidth="1"/>
    <col min="8" max="8" width="3" customWidth="1"/>
    <col min="9" max="9" width="26" customWidth="1"/>
    <col min="10" max="10" width="20" customWidth="1"/>
    <col min="11" max="11" width="10" customWidth="1"/>
    <col min="12" max="12" width="16" customWidth="1"/>
    <col min="13" max="13" width="3" customWidth="1"/>
    <col min="14" max="16" width="12" customWidth="1"/>
  </cols>
  <sheetData>
    <row r="1" spans="1:16" ht="30" customHeight="1" x14ac:dyDescent="0.25">
      <c r="A1" s="33" t="s">
        <v>0</v>
      </c>
      <c r="B1" s="33"/>
      <c r="C1" s="33"/>
      <c r="D1" s="33"/>
      <c r="E1" s="33"/>
      <c r="F1" s="33"/>
      <c r="G1" s="33"/>
      <c r="H1" s="33"/>
      <c r="I1" s="33"/>
      <c r="J1" s="33"/>
      <c r="K1" s="33"/>
      <c r="L1" s="33"/>
      <c r="M1" s="33"/>
      <c r="N1" s="33"/>
      <c r="O1" s="33"/>
      <c r="P1" s="33"/>
    </row>
    <row r="2" spans="1:16" ht="18" x14ac:dyDescent="0.25">
      <c r="A2" s="1" t="s">
        <v>899</v>
      </c>
    </row>
    <row r="4" spans="1:16" ht="31.5" customHeight="1" x14ac:dyDescent="0.25">
      <c r="A4" s="6" t="s">
        <v>19</v>
      </c>
      <c r="B4" s="6" t="s">
        <v>20</v>
      </c>
      <c r="C4" s="6" t="s">
        <v>21</v>
      </c>
      <c r="E4" s="6" t="s">
        <v>24</v>
      </c>
      <c r="F4" s="6" t="s">
        <v>25</v>
      </c>
      <c r="G4" s="6" t="s">
        <v>26</v>
      </c>
      <c r="I4" s="6" t="s">
        <v>900</v>
      </c>
      <c r="J4" s="6" t="s">
        <v>21</v>
      </c>
      <c r="K4" s="6" t="s">
        <v>24</v>
      </c>
      <c r="L4" s="6" t="s">
        <v>29</v>
      </c>
      <c r="N4" s="6" t="s">
        <v>19</v>
      </c>
      <c r="O4" s="6" t="s">
        <v>901</v>
      </c>
      <c r="P4" s="6" t="s">
        <v>902</v>
      </c>
    </row>
    <row r="5" spans="1:16" x14ac:dyDescent="0.25">
      <c r="A5" s="7" t="s">
        <v>40</v>
      </c>
      <c r="B5" s="7" t="s">
        <v>903</v>
      </c>
      <c r="C5" s="7" t="s">
        <v>904</v>
      </c>
      <c r="E5" s="7" t="s">
        <v>41</v>
      </c>
      <c r="F5" s="7" t="s">
        <v>905</v>
      </c>
      <c r="G5" s="7" t="s">
        <v>906</v>
      </c>
      <c r="I5" s="10" t="str">
        <f t="shared" ref="I5:I20" si="0">J5&amp;"|"&amp;K5</f>
        <v>Project Coordinator|P101</v>
      </c>
      <c r="J5" s="7" t="s">
        <v>904</v>
      </c>
      <c r="K5" s="7" t="s">
        <v>41</v>
      </c>
      <c r="L5" s="12">
        <v>78</v>
      </c>
      <c r="N5" s="7" t="s">
        <v>99</v>
      </c>
      <c r="O5" s="9">
        <v>46281</v>
      </c>
      <c r="P5" s="7" t="s">
        <v>907</v>
      </c>
    </row>
    <row r="6" spans="1:16" x14ac:dyDescent="0.25">
      <c r="A6" s="7" t="s">
        <v>58</v>
      </c>
      <c r="B6" s="7" t="s">
        <v>908</v>
      </c>
      <c r="C6" s="7" t="s">
        <v>904</v>
      </c>
      <c r="E6" s="7" t="s">
        <v>46</v>
      </c>
      <c r="F6" s="7" t="s">
        <v>909</v>
      </c>
      <c r="G6" s="7" t="s">
        <v>906</v>
      </c>
      <c r="I6" s="10" t="str">
        <f t="shared" si="0"/>
        <v>Project Coordinator|P102</v>
      </c>
      <c r="J6" s="7" t="s">
        <v>904</v>
      </c>
      <c r="K6" s="7" t="s">
        <v>46</v>
      </c>
      <c r="L6" s="12">
        <v>82</v>
      </c>
      <c r="N6" s="7" t="s">
        <v>206</v>
      </c>
      <c r="O6" s="9">
        <v>46286</v>
      </c>
      <c r="P6" s="7" t="s">
        <v>910</v>
      </c>
    </row>
    <row r="7" spans="1:16" x14ac:dyDescent="0.25">
      <c r="A7" s="7" t="s">
        <v>72</v>
      </c>
      <c r="B7" s="7" t="s">
        <v>911</v>
      </c>
      <c r="C7" s="7" t="s">
        <v>904</v>
      </c>
      <c r="E7" s="7" t="s">
        <v>50</v>
      </c>
      <c r="F7" s="7" t="s">
        <v>912</v>
      </c>
      <c r="G7" s="7" t="s">
        <v>906</v>
      </c>
      <c r="I7" s="10" t="str">
        <f t="shared" si="0"/>
        <v>Project Coordinator|P103</v>
      </c>
      <c r="J7" s="7" t="s">
        <v>904</v>
      </c>
      <c r="K7" s="7" t="s">
        <v>50</v>
      </c>
      <c r="L7" s="12">
        <v>74</v>
      </c>
      <c r="N7" s="7" t="s">
        <v>307</v>
      </c>
      <c r="O7" s="9">
        <v>46289</v>
      </c>
      <c r="P7" s="7" t="s">
        <v>907</v>
      </c>
    </row>
    <row r="8" spans="1:16" x14ac:dyDescent="0.25">
      <c r="A8" s="7" t="s">
        <v>87</v>
      </c>
      <c r="B8" s="7" t="s">
        <v>913</v>
      </c>
      <c r="C8" s="7" t="s">
        <v>904</v>
      </c>
      <c r="E8" s="7" t="s">
        <v>74</v>
      </c>
      <c r="F8" s="7" t="s">
        <v>914</v>
      </c>
      <c r="G8" s="7" t="s">
        <v>906</v>
      </c>
      <c r="I8" s="10" t="str">
        <f t="shared" si="0"/>
        <v>Project Coordinator|P104</v>
      </c>
      <c r="J8" s="7" t="s">
        <v>904</v>
      </c>
      <c r="K8" s="7" t="s">
        <v>74</v>
      </c>
      <c r="L8" s="12">
        <v>86</v>
      </c>
    </row>
    <row r="9" spans="1:16" x14ac:dyDescent="0.25">
      <c r="A9" s="7" t="s">
        <v>99</v>
      </c>
      <c r="B9" s="7" t="s">
        <v>915</v>
      </c>
      <c r="C9" s="7" t="s">
        <v>904</v>
      </c>
      <c r="E9" s="7" t="s">
        <v>53</v>
      </c>
      <c r="F9" s="7" t="s">
        <v>916</v>
      </c>
      <c r="G9" s="7" t="s">
        <v>917</v>
      </c>
      <c r="I9" s="10" t="str">
        <f t="shared" si="0"/>
        <v>Estimator|P101</v>
      </c>
      <c r="J9" s="7" t="s">
        <v>918</v>
      </c>
      <c r="K9" s="7" t="s">
        <v>41</v>
      </c>
      <c r="L9" s="12">
        <v>105</v>
      </c>
    </row>
    <row r="10" spans="1:16" x14ac:dyDescent="0.25">
      <c r="A10" s="7" t="s">
        <v>110</v>
      </c>
      <c r="B10" s="7" t="s">
        <v>919</v>
      </c>
      <c r="C10" s="7" t="s">
        <v>904</v>
      </c>
      <c r="I10" s="10" t="str">
        <f t="shared" si="0"/>
        <v>Estimator|P102</v>
      </c>
      <c r="J10" s="7" t="s">
        <v>918</v>
      </c>
      <c r="K10" s="7" t="s">
        <v>46</v>
      </c>
      <c r="L10" s="12">
        <v>110</v>
      </c>
    </row>
    <row r="11" spans="1:16" x14ac:dyDescent="0.25">
      <c r="A11" s="7" t="s">
        <v>124</v>
      </c>
      <c r="B11" s="7" t="s">
        <v>920</v>
      </c>
      <c r="C11" s="7" t="s">
        <v>904</v>
      </c>
      <c r="I11" s="10" t="str">
        <f t="shared" si="0"/>
        <v>Estimator|P103</v>
      </c>
      <c r="J11" s="7" t="s">
        <v>918</v>
      </c>
      <c r="K11" s="7" t="s">
        <v>50</v>
      </c>
      <c r="L11" s="12">
        <v>100</v>
      </c>
    </row>
    <row r="12" spans="1:16" x14ac:dyDescent="0.25">
      <c r="A12" s="7" t="s">
        <v>136</v>
      </c>
      <c r="B12" s="7" t="s">
        <v>921</v>
      </c>
      <c r="C12" s="7" t="s">
        <v>904</v>
      </c>
      <c r="I12" s="10" t="str">
        <f t="shared" si="0"/>
        <v>Estimator|P104</v>
      </c>
      <c r="J12" s="7" t="s">
        <v>918</v>
      </c>
      <c r="K12" s="7" t="s">
        <v>74</v>
      </c>
      <c r="L12" s="12">
        <v>116</v>
      </c>
    </row>
    <row r="13" spans="1:16" x14ac:dyDescent="0.25">
      <c r="A13" s="7" t="s">
        <v>147</v>
      </c>
      <c r="B13" s="7" t="s">
        <v>922</v>
      </c>
      <c r="C13" s="7" t="s">
        <v>904</v>
      </c>
      <c r="I13" s="10" t="str">
        <f t="shared" si="0"/>
        <v>Field Supervisor|P101</v>
      </c>
      <c r="J13" s="7" t="s">
        <v>923</v>
      </c>
      <c r="K13" s="7" t="s">
        <v>41</v>
      </c>
      <c r="L13" s="12">
        <v>118</v>
      </c>
    </row>
    <row r="14" spans="1:16" x14ac:dyDescent="0.25">
      <c r="A14" s="7" t="s">
        <v>158</v>
      </c>
      <c r="B14" s="7" t="s">
        <v>924</v>
      </c>
      <c r="C14" s="7" t="s">
        <v>918</v>
      </c>
      <c r="I14" s="10" t="str">
        <f t="shared" si="0"/>
        <v>Field Supervisor|P102</v>
      </c>
      <c r="J14" s="7" t="s">
        <v>923</v>
      </c>
      <c r="K14" s="7" t="s">
        <v>46</v>
      </c>
      <c r="L14" s="12">
        <v>124</v>
      </c>
    </row>
    <row r="15" spans="1:16" x14ac:dyDescent="0.25">
      <c r="A15" s="7" t="s">
        <v>170</v>
      </c>
      <c r="B15" s="7" t="s">
        <v>925</v>
      </c>
      <c r="C15" s="7" t="s">
        <v>918</v>
      </c>
      <c r="I15" s="10" t="str">
        <f t="shared" si="0"/>
        <v>Field Supervisor|P103</v>
      </c>
      <c r="J15" s="7" t="s">
        <v>923</v>
      </c>
      <c r="K15" s="7" t="s">
        <v>50</v>
      </c>
      <c r="L15" s="12">
        <v>112</v>
      </c>
    </row>
    <row r="16" spans="1:16" x14ac:dyDescent="0.25">
      <c r="A16" s="7" t="s">
        <v>180</v>
      </c>
      <c r="B16" s="7" t="s">
        <v>926</v>
      </c>
      <c r="C16" s="7" t="s">
        <v>918</v>
      </c>
      <c r="I16" s="10" t="str">
        <f t="shared" si="0"/>
        <v>Field Supervisor|P104</v>
      </c>
      <c r="J16" s="7" t="s">
        <v>923</v>
      </c>
      <c r="K16" s="7" t="s">
        <v>74</v>
      </c>
      <c r="L16" s="12">
        <v>130</v>
      </c>
    </row>
    <row r="17" spans="1:12" x14ac:dyDescent="0.25">
      <c r="A17" s="7" t="s">
        <v>194</v>
      </c>
      <c r="B17" s="7" t="s">
        <v>927</v>
      </c>
      <c r="C17" s="7" t="s">
        <v>918</v>
      </c>
      <c r="I17" s="10" t="str">
        <f t="shared" si="0"/>
        <v>Safety Advisor|P101</v>
      </c>
      <c r="J17" s="7" t="s">
        <v>928</v>
      </c>
      <c r="K17" s="7" t="s">
        <v>41</v>
      </c>
      <c r="L17" s="12">
        <v>98</v>
      </c>
    </row>
    <row r="18" spans="1:12" x14ac:dyDescent="0.25">
      <c r="A18" s="7" t="s">
        <v>206</v>
      </c>
      <c r="B18" s="7" t="s">
        <v>929</v>
      </c>
      <c r="C18" s="7" t="s">
        <v>918</v>
      </c>
      <c r="I18" s="10" t="str">
        <f t="shared" si="0"/>
        <v>Safety Advisor|P102</v>
      </c>
      <c r="J18" s="7" t="s">
        <v>928</v>
      </c>
      <c r="K18" s="7" t="s">
        <v>46</v>
      </c>
      <c r="L18" s="12">
        <v>103</v>
      </c>
    </row>
    <row r="19" spans="1:12" x14ac:dyDescent="0.25">
      <c r="A19" s="7" t="s">
        <v>217</v>
      </c>
      <c r="B19" s="7" t="s">
        <v>930</v>
      </c>
      <c r="C19" s="7" t="s">
        <v>918</v>
      </c>
      <c r="I19" s="10" t="str">
        <f t="shared" si="0"/>
        <v>Safety Advisor|P103</v>
      </c>
      <c r="J19" s="7" t="s">
        <v>928</v>
      </c>
      <c r="K19" s="7" t="s">
        <v>50</v>
      </c>
      <c r="L19" s="12">
        <v>93</v>
      </c>
    </row>
    <row r="20" spans="1:12" x14ac:dyDescent="0.25">
      <c r="A20" s="7" t="s">
        <v>229</v>
      </c>
      <c r="B20" s="7" t="s">
        <v>931</v>
      </c>
      <c r="C20" s="7" t="s">
        <v>923</v>
      </c>
      <c r="I20" s="10" t="str">
        <f t="shared" si="0"/>
        <v>Safety Advisor|P104</v>
      </c>
      <c r="J20" s="7" t="s">
        <v>928</v>
      </c>
      <c r="K20" s="7" t="s">
        <v>74</v>
      </c>
      <c r="L20" s="12">
        <v>108</v>
      </c>
    </row>
    <row r="21" spans="1:12" x14ac:dyDescent="0.25">
      <c r="A21" s="7" t="s">
        <v>240</v>
      </c>
      <c r="B21" s="7" t="s">
        <v>932</v>
      </c>
      <c r="C21" s="7" t="s">
        <v>923</v>
      </c>
    </row>
    <row r="22" spans="1:12" x14ac:dyDescent="0.25">
      <c r="A22" s="7" t="s">
        <v>250</v>
      </c>
      <c r="B22" s="7" t="s">
        <v>933</v>
      </c>
      <c r="C22" s="7" t="s">
        <v>923</v>
      </c>
    </row>
    <row r="23" spans="1:12" x14ac:dyDescent="0.25">
      <c r="A23" s="7" t="s">
        <v>262</v>
      </c>
      <c r="B23" s="7" t="s">
        <v>934</v>
      </c>
      <c r="C23" s="7" t="s">
        <v>923</v>
      </c>
    </row>
    <row r="24" spans="1:12" x14ac:dyDescent="0.25">
      <c r="A24" s="7" t="s">
        <v>273</v>
      </c>
      <c r="B24" s="7" t="s">
        <v>935</v>
      </c>
      <c r="C24" s="7" t="s">
        <v>923</v>
      </c>
    </row>
    <row r="25" spans="1:12" x14ac:dyDescent="0.25">
      <c r="A25" s="7" t="s">
        <v>284</v>
      </c>
      <c r="B25" s="7" t="s">
        <v>936</v>
      </c>
      <c r="C25" s="7" t="s">
        <v>923</v>
      </c>
    </row>
    <row r="26" spans="1:12" x14ac:dyDescent="0.25">
      <c r="A26" s="7" t="s">
        <v>295</v>
      </c>
      <c r="B26" s="7" t="s">
        <v>937</v>
      </c>
      <c r="C26" s="7" t="s">
        <v>923</v>
      </c>
    </row>
    <row r="27" spans="1:12" x14ac:dyDescent="0.25">
      <c r="A27" s="7" t="s">
        <v>307</v>
      </c>
      <c r="B27" s="7" t="s">
        <v>938</v>
      </c>
      <c r="C27" s="7" t="s">
        <v>923</v>
      </c>
    </row>
    <row r="28" spans="1:12" x14ac:dyDescent="0.25">
      <c r="A28" s="7" t="s">
        <v>317</v>
      </c>
      <c r="B28" s="7" t="s">
        <v>939</v>
      </c>
      <c r="C28" s="7" t="s">
        <v>923</v>
      </c>
    </row>
    <row r="29" spans="1:12" x14ac:dyDescent="0.25">
      <c r="A29" s="7" t="s">
        <v>329</v>
      </c>
      <c r="B29" s="7" t="s">
        <v>940</v>
      </c>
      <c r="C29" s="7" t="s">
        <v>928</v>
      </c>
    </row>
    <row r="30" spans="1:12" x14ac:dyDescent="0.25">
      <c r="A30" s="7" t="s">
        <v>342</v>
      </c>
      <c r="B30" s="7" t="s">
        <v>941</v>
      </c>
      <c r="C30" s="7" t="s">
        <v>928</v>
      </c>
    </row>
    <row r="31" spans="1:12" x14ac:dyDescent="0.25">
      <c r="A31" s="7" t="s">
        <v>352</v>
      </c>
      <c r="B31" s="7" t="s">
        <v>942</v>
      </c>
      <c r="C31" s="7" t="s">
        <v>928</v>
      </c>
    </row>
    <row r="32" spans="1:12" x14ac:dyDescent="0.25">
      <c r="A32" s="7" t="s">
        <v>363</v>
      </c>
      <c r="B32" s="7" t="s">
        <v>943</v>
      </c>
      <c r="C32" s="7" t="s">
        <v>928</v>
      </c>
    </row>
    <row r="33" spans="1:3" x14ac:dyDescent="0.25">
      <c r="A33" s="7" t="s">
        <v>375</v>
      </c>
      <c r="B33" s="7" t="s">
        <v>944</v>
      </c>
      <c r="C33" s="7" t="s">
        <v>928</v>
      </c>
    </row>
    <row r="34" spans="1:3" x14ac:dyDescent="0.25">
      <c r="A34" s="7" t="s">
        <v>385</v>
      </c>
      <c r="B34" s="7" t="s">
        <v>945</v>
      </c>
      <c r="C34" s="7" t="s">
        <v>928</v>
      </c>
    </row>
  </sheetData>
  <mergeCells count="1">
    <mergeCell ref="A1:P1"/>
  </mergeCells>
  <printOptions horizontalCentered="1"/>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Time_Entries</vt:lpstr>
      <vt:lpstr>Billing_Data</vt:lpstr>
      <vt:lpstr>Coverage</vt:lpstr>
      <vt:lpstr>Discrepancy_Log</vt:lpstr>
      <vt:lpstr>Summary_Checks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moyosoluwa.yusuf@ucalgary.ca</dc:creator>
  <dc:description/>
  <cp:lastModifiedBy>Mo Yusuf</cp:lastModifiedBy>
  <cp:revision>0</cp:revision>
  <dcterms:created xsi:type="dcterms:W3CDTF">2026-10-09T16:58:33Z</dcterms:created>
  <dcterms:modified xsi:type="dcterms:W3CDTF">2026-10-13T16:19:05Z</dcterms:modified>
  <dc:language>en-US</dc:language>
</cp:coreProperties>
</file>